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geneste\INRAE\projets\SensorThing\atelier_sensorthing\conf_file\"/>
    </mc:Choice>
  </mc:AlternateContent>
  <bookViews>
    <workbookView xWindow="0" yWindow="0" windowWidth="11445" windowHeight="1650" tabRatio="745" activeTab="3"/>
  </bookViews>
  <sheets>
    <sheet name="Lisez-moi" sheetId="14" r:id="rId1"/>
    <sheet name="1_observedProperty" sheetId="7" r:id="rId2"/>
    <sheet name="2_sensor" sheetId="6" r:id="rId3"/>
    <sheet name="3_thing" sheetId="5" r:id="rId4"/>
    <sheet name="4_datastream" sheetId="10" r:id="rId5"/>
    <sheet name="5_featureOfInterest" sheetId="19" r:id="rId6"/>
    <sheet name="observation type" sheetId="13" r:id="rId7"/>
    <sheet name="liste_coordXY_Agrhys" sheetId="17" r:id="rId8"/>
  </sheets>
  <calcPr calcId="162913"/>
</workbook>
</file>

<file path=xl/calcChain.xml><?xml version="1.0" encoding="utf-8"?>
<calcChain xmlns="http://schemas.openxmlformats.org/spreadsheetml/2006/main">
  <c r="A4" i="17" l="1"/>
  <c r="A3" i="17"/>
  <c r="A2" i="17"/>
</calcChain>
</file>

<file path=xl/sharedStrings.xml><?xml version="1.0" encoding="utf-8"?>
<sst xmlns="http://schemas.openxmlformats.org/spreadsheetml/2006/main" count="816" uniqueCount="490">
  <si>
    <t>unit-name</t>
  </si>
  <si>
    <t>unit-symbol</t>
  </si>
  <si>
    <t>unit-definition</t>
  </si>
  <si>
    <t>mètre</t>
  </si>
  <si>
    <t>m</t>
  </si>
  <si>
    <t>http://unitsofmeasure.org/ucum.html#para-30</t>
  </si>
  <si>
    <t>hydrologie</t>
  </si>
  <si>
    <t>°C</t>
  </si>
  <si>
    <t>physico-chimie</t>
  </si>
  <si>
    <t>microsiemens par cm</t>
  </si>
  <si>
    <t>µS/cm</t>
  </si>
  <si>
    <t>http://opendata.inrae.fr/thesaurusINRAE/c_14004</t>
  </si>
  <si>
    <t>milligramme par litre</t>
  </si>
  <si>
    <t>mg/L</t>
  </si>
  <si>
    <t>chimie</t>
  </si>
  <si>
    <t>http://opendata.inrae.fr/thesaurusINRAE/c_15698</t>
  </si>
  <si>
    <t>http://opendata.inrae.fr/thesaurusINRAE/c_15775</t>
  </si>
  <si>
    <t>http://opendata.inrae.fr/thesaurusINRAE/c_15709</t>
  </si>
  <si>
    <t>http://opendata.inrae.fr/thesaurusINRAE/c_15797</t>
  </si>
  <si>
    <t>http://opendata.inrae.fr/thesaurusINRAE/c_15721</t>
  </si>
  <si>
    <t>https://www.ott.com/download/leaflet-shaft-encoder-for-depth-and-water-level-measurement-ott-thalimedes-1/</t>
  </si>
  <si>
    <t>Exutoire du bassin versant du Puits</t>
  </si>
  <si>
    <t>name</t>
  </si>
  <si>
    <t>description</t>
  </si>
  <si>
    <t>Exutoire du bassin versant de Kervidy</t>
  </si>
  <si>
    <t>Vmin</t>
  </si>
  <si>
    <t>Vmax</t>
  </si>
  <si>
    <t>Accuracy</t>
  </si>
  <si>
    <t>Capteur de niveau d'eau</t>
  </si>
  <si>
    <t>0,001m</t>
  </si>
  <si>
    <t>Capteur de température Wimesure Pt100 classe B</t>
  </si>
  <si>
    <t>-40°C</t>
  </si>
  <si>
    <t>150°C</t>
  </si>
  <si>
    <t>0,3 °C</t>
  </si>
  <si>
    <t>https://www.ott.com/products/water-level-1/ott-pls-c-38/</t>
  </si>
  <si>
    <t>Capteur de niveau, de conductivité électrique et de témpérature de l'eau</t>
  </si>
  <si>
    <t>Hauteur d'eau (0)
Conductivité électrique (5 µS/cm)
Température d'eau (-25°C)</t>
  </si>
  <si>
    <t>Hauteur d'eau (4m)
Conductivité électrique (2000 µS/cm)
Température d'eau (70°C)</t>
  </si>
  <si>
    <t>Hauteur d'eau (0,001m)
Conductivité électrique (1 µS/cm)
Température d'eau (0,1°C)</t>
  </si>
  <si>
    <t>Limnigraphe papier associé à un flotteur et un contrepoids</t>
  </si>
  <si>
    <t>https://www.pme.com/wp-content/uploads/PME-miniDOT-Manual-2021.pdf</t>
  </si>
  <si>
    <t>definition</t>
  </si>
  <si>
    <t>http://opendata.inrae.fr/thesaurusINRAE/c_16420</t>
  </si>
  <si>
    <t>Mesure du niveau du cours d'eau</t>
  </si>
  <si>
    <t>Mesure de la conductivité électrique du cours d'eau</t>
  </si>
  <si>
    <t>http://opendata.inrae.fr/thesaurusINRAE/c_15677</t>
  </si>
  <si>
    <t>Mesure de l'oxygène dissoud dans un cours d'eau</t>
  </si>
  <si>
    <t>https://www.eionet.europa.eu/gemet/en/concept/11788</t>
  </si>
  <si>
    <t>http://unitsofmeasure.org/ucum.html#para-31</t>
  </si>
  <si>
    <t>Concentration en nitrate</t>
  </si>
  <si>
    <t xml:space="preserve">Concentration en calcium </t>
  </si>
  <si>
    <t>Concentration en phosphore</t>
  </si>
  <si>
    <t>Concentration en chlorure</t>
  </si>
  <si>
    <t>Concentration en sulfate</t>
  </si>
  <si>
    <t>observationType</t>
  </si>
  <si>
    <t>unitOfMeasurement.name</t>
  </si>
  <si>
    <t>unitOfMeasurement.symbol</t>
  </si>
  <si>
    <t>unitOfMeasurement.definition</t>
  </si>
  <si>
    <t>http://www.opengis.net/def/observationType/OGC-OM/2.0/OM_Measurement</t>
  </si>
  <si>
    <t>https://www.bipm.org/en/si-base-units/metre</t>
  </si>
  <si>
    <t>https://fr.wikipedia.org/wiki/Conductivit%C3%A9_%C3%A9lectrique</t>
  </si>
  <si>
    <t>Degré Celsius</t>
  </si>
  <si>
    <t>O&amp;M 2.0</t>
  </si>
  <si>
    <t>Value Code Value (observationType names)</t>
  </si>
  <si>
    <t>Content of result</t>
  </si>
  <si>
    <t>OM_CategoryObservation</t>
  </si>
  <si>
    <t>http://www.opengis.net/def/observationType/OGC-OM/2.0/OM_CategoryObservation</t>
  </si>
  <si>
    <t>URI</t>
  </si>
  <si>
    <t>OM_CountObservation</t>
  </si>
  <si>
    <t>http://www.opengis.net/def/observationType/OGC-OM/2.0/OM_CountObservation</t>
  </si>
  <si>
    <t>integer</t>
  </si>
  <si>
    <t>OM_Measurement</t>
  </si>
  <si>
    <t>double</t>
  </si>
  <si>
    <t>OM_Observation</t>
  </si>
  <si>
    <t>http://www.opengis.net/def/observationType/OGC-OM/2.0/OM_Observation</t>
  </si>
  <si>
    <t>Any</t>
  </si>
  <si>
    <t>OM_TruthObservation</t>
  </si>
  <si>
    <t>http://www.opengis.net/def/observationType/OGC-OM/2.0/OM_TruthObservation</t>
  </si>
  <si>
    <t>boolean</t>
  </si>
  <si>
    <t>Objectif</t>
  </si>
  <si>
    <t>Instructions générales</t>
  </si>
  <si>
    <t>Recommendations par onglet interprété par le script Python</t>
  </si>
  <si>
    <t>name *</t>
  </si>
  <si>
    <t>description *</t>
  </si>
  <si>
    <t>https://docs.ogc.org/is/18-088/18-088.html#observedproperty</t>
  </si>
  <si>
    <t>definition *</t>
  </si>
  <si>
    <t>lien vers définition</t>
  </si>
  <si>
    <t>champ texte d'une description courte</t>
  </si>
  <si>
    <t>https://docs.ogc.org/is/18-088/18-088.html#sensor</t>
  </si>
  <si>
    <t>metadata  *</t>
  </si>
  <si>
    <t>valeur minimale</t>
  </si>
  <si>
    <t>valeur maximale</t>
  </si>
  <si>
    <t>valeur de précision</t>
  </si>
  <si>
    <t>https://docs.ogc.org/is/18-088/18-088.html#thing</t>
  </si>
  <si>
    <t>Chemin complet du fichier de données</t>
  </si>
  <si>
    <t>Chemin complet du fichier, lien vers la source de données (capteur LORA, base de données).</t>
  </si>
  <si>
    <t>Méthode de transfert entre le capteur et un dépôt</t>
  </si>
  <si>
    <t>Transfert SFTP, ssh, tache automatique de transfert par logiciel tier, manuel (support externe, partage résau)</t>
  </si>
  <si>
    <t>Méthode de transfert entre le dépôt et la base de données</t>
  </si>
  <si>
    <t>Alimentation du système d'information sensorThing: logiciel tier, script (tache CRON), interprétation des données LORA. Dans certain cas le transfert de données peut s'effectuer directement du capteur vers la base de données.</t>
  </si>
  <si>
    <t>Alimentation des données  automatique / manuel</t>
  </si>
  <si>
    <t>Méthode d'alimentation souhaitée</t>
  </si>
  <si>
    <t>Commentaires</t>
  </si>
  <si>
    <t>explication complémentaire, point d'attention</t>
  </si>
  <si>
    <t>observation type</t>
  </si>
  <si>
    <t>valeur possible pour le champ observationType de l'onglet 1_datastream</t>
  </si>
  <si>
    <t>liste_coordXY_Agrhys</t>
  </si>
  <si>
    <t>Export de la base de données, liste de toutes les localisations enregistrées sur l'observatoire Aghrys. Valeurs renseignées dans l'onglet 5_location</t>
  </si>
  <si>
    <t>Chemin des données historiques</t>
  </si>
  <si>
    <t xml:space="preserve">Données historiques : date début </t>
  </si>
  <si>
    <t>Données historiques : date fin</t>
  </si>
  <si>
    <t>Capteur toujours en fonctionnement O/N</t>
  </si>
  <si>
    <t>X</t>
  </si>
  <si>
    <t>Y</t>
  </si>
  <si>
    <t>point de mesure</t>
  </si>
  <si>
    <t>SITE_EXP</t>
  </si>
  <si>
    <t>CARACTERI0</t>
  </si>
  <si>
    <t>E37</t>
  </si>
  <si>
    <t>Kerbernez</t>
  </si>
  <si>
    <t>Outlet</t>
  </si>
  <si>
    <t>F4</t>
  </si>
  <si>
    <t>Piezometer</t>
  </si>
  <si>
    <t>E30</t>
  </si>
  <si>
    <r>
      <t xml:space="preserve">2_sensor: </t>
    </r>
    <r>
      <rPr>
        <sz val="11"/>
        <color theme="1"/>
        <rFont val="Calibri"/>
        <family val="2"/>
        <scheme val="minor"/>
      </rPr>
      <t>Un sensor est un instrument observant une propriété ou un phénomène dans le but de produire une estimation de la valeur de cette propriété.</t>
    </r>
  </si>
  <si>
    <t>unit-name *</t>
  </si>
  <si>
    <t>unit-symbol *</t>
  </si>
  <si>
    <t>nom de la grandeur physique mesurée</t>
  </si>
  <si>
    <t>symbole de la grandeur physique mesurée</t>
  </si>
  <si>
    <t>https://docs.ogc.org/is/18-088/18-088.html#datastream</t>
  </si>
  <si>
    <t>observationType *</t>
  </si>
  <si>
    <r>
      <t xml:space="preserve">Voir onglet </t>
    </r>
    <r>
      <rPr>
        <b/>
        <sz val="11"/>
        <color theme="1"/>
        <rFont val="Calibri"/>
        <family val="2"/>
        <scheme val="minor"/>
      </rPr>
      <t>observation type</t>
    </r>
  </si>
  <si>
    <t>unitOfMeasurement.name *</t>
  </si>
  <si>
    <t>unitOfMeasurement.symbol *</t>
  </si>
  <si>
    <t>unitOfMeasurement.definition *</t>
  </si>
  <si>
    <t>création automatique</t>
  </si>
  <si>
    <r>
      <t xml:space="preserve">4_datastream: </t>
    </r>
    <r>
      <rPr>
        <sz val="11"/>
        <color theme="1"/>
        <rFont val="Calibri"/>
        <family val="2"/>
        <scheme val="minor"/>
      </rPr>
      <t>Flux d’observations</t>
    </r>
  </si>
  <si>
    <r>
      <t xml:space="preserve">Créer une architecture Sensorthing de votre observatoire, à l'aide de ce fichier de configuration et du script Python associé.
</t>
    </r>
    <r>
      <rPr>
        <b/>
        <sz val="11"/>
        <color theme="1"/>
        <rFont val="Calibri"/>
        <family val="2"/>
        <scheme val="minor"/>
      </rPr>
      <t>Seuls les onglets (</t>
    </r>
    <r>
      <rPr>
        <b/>
        <sz val="11"/>
        <color rgb="FFFF0000"/>
        <rFont val="Calibri"/>
        <family val="2"/>
        <scheme val="minor"/>
      </rPr>
      <t>rouge</t>
    </r>
    <r>
      <rPr>
        <b/>
        <sz val="11"/>
        <color theme="1"/>
        <rFont val="Calibri"/>
        <family val="2"/>
        <scheme val="minor"/>
      </rPr>
      <t>) 1_observedProperty, 2_sensor, 3 _thing,  4_datastream, 6_featureOfInterest sont interprétés par le script Python.</t>
    </r>
    <r>
      <rPr>
        <sz val="11"/>
        <color theme="1"/>
        <rFont val="Calibri"/>
        <family val="2"/>
        <scheme val="minor"/>
      </rPr>
      <t xml:space="preserve">
Pour en savoir plus, https://docs.ogc.org/is/18-088/18-088.html#sensing-entities2</t>
    </r>
  </si>
  <si>
    <r>
      <t xml:space="preserve">1_observedProperty: </t>
    </r>
    <r>
      <rPr>
        <sz val="11"/>
        <color theme="1"/>
        <rFont val="Calibri"/>
        <family val="2"/>
        <scheme val="minor"/>
      </rPr>
      <t>Spécifie le phénomène d'une observation</t>
    </r>
  </si>
  <si>
    <t>observedProperty1</t>
  </si>
  <si>
    <t>observedProperty2</t>
  </si>
  <si>
    <t>observedProperty3</t>
  </si>
  <si>
    <t>observedProperty4</t>
  </si>
  <si>
    <t>observedProperty5</t>
  </si>
  <si>
    <t>observedProperty6</t>
  </si>
  <si>
    <t>observedProperty7</t>
  </si>
  <si>
    <r>
      <rPr>
        <b/>
        <sz val="11"/>
        <color theme="1"/>
        <rFont val="Calibri"/>
        <family val="2"/>
        <scheme val="minor"/>
      </rPr>
      <t>3_thing:</t>
    </r>
    <r>
      <rPr>
        <sz val="11"/>
        <color theme="1"/>
        <rFont val="Calibri"/>
        <family val="2"/>
        <scheme val="minor"/>
      </rPr>
      <t xml:space="preserve"> Dans le cas Agrhys, nous attribuons le point de mesure</t>
    </r>
  </si>
  <si>
    <t>sensor1</t>
  </si>
  <si>
    <t>sensor2</t>
  </si>
  <si>
    <t>sensor3</t>
  </si>
  <si>
    <t>sensor4</t>
  </si>
  <si>
    <t>sensor5</t>
  </si>
  <si>
    <t>sensor6</t>
  </si>
  <si>
    <t>sensor7</t>
  </si>
  <si>
    <t>sensor8</t>
  </si>
  <si>
    <t>observedPropertyn *</t>
  </si>
  <si>
    <t>sensor n *</t>
  </si>
  <si>
    <t>https://docs.ogc.org/is/18-088/18-088.html#featureofinterest</t>
  </si>
  <si>
    <t>encodingType *</t>
  </si>
  <si>
    <t>html ou pdf</t>
  </si>
  <si>
    <r>
      <t xml:space="preserve">5_featureOfInterest: </t>
    </r>
    <r>
      <rPr>
        <sz val="11"/>
        <color theme="1"/>
        <rFont val="Calibri"/>
        <family val="2"/>
        <scheme val="minor"/>
      </rPr>
      <t>centres d'intérêt</t>
    </r>
  </si>
  <si>
    <t>Ongles supplémentaires (optionnel)</t>
  </si>
  <si>
    <t>calcium</t>
  </si>
  <si>
    <t>nitrate</t>
  </si>
  <si>
    <t>phosphorus</t>
  </si>
  <si>
    <t>chloride</t>
  </si>
  <si>
    <t>sulphate</t>
  </si>
  <si>
    <t>famille de la grandeur physique mesurée</t>
  </si>
  <si>
    <t>n observedProperty. Au moins un obligatoire</t>
  </si>
  <si>
    <t>n sensor. Au moins un obligatoire</t>
  </si>
  <si>
    <t>Capteur d'oxygène dissous dans l'eau et de température de l'eau</t>
  </si>
  <si>
    <t>0 % de saturation en oxygène et   -20°C</t>
  </si>
  <si>
    <t xml:space="preserve">150 % de saturation en oxygène et +40°C </t>
  </si>
  <si>
    <t>Concentration en oxygène résolution de 0,01 mg/l  et précision de 5%
Température précision : 0.01°C</t>
  </si>
  <si>
    <t>Capteur de niveau de témpérature des eaux souterraines</t>
  </si>
  <si>
    <t>https://www.ott.com/fr-fr/produits/le-niveau-deau-72/ott-orpheus-mini-196/productAction/outputAsPdf/</t>
  </si>
  <si>
    <t>Niveau 0 m
Température -25°C</t>
  </si>
  <si>
    <t>Niveau  4m ou 10m ou 20m ou 40m
Température -70°C</t>
  </si>
  <si>
    <t>Niveau  précision +/- 0,05% de la pleine échelle Température précision +/- 0,5%</t>
  </si>
  <si>
    <t>Capteur de niveau, de conductivité électrique et de témpérature des eaux souterraines</t>
  </si>
  <si>
    <t>https://www.ott.com/fr-fr/produits/le-niveau-deau-72/ott-ctd-194/productAction/outputAsPdf/</t>
  </si>
  <si>
    <t>Niveau 0 m
Température -25°C
Conductivité 0 µS/cm</t>
  </si>
  <si>
    <t>Niveau  4m ou 10m ou 20m ou 40m ou 100m
Température -70°C
Conductivité 2 mS/cm</t>
  </si>
  <si>
    <t>Niveau  précision +/- 0,05% de la pleine échelle Température précision +/- 0,5%
Conductivité +/- 0,05% de la valeur mesurée</t>
  </si>
  <si>
    <t>https://vanessen.com/images/PDFs/Diver-ProductManual-en.pdf</t>
  </si>
  <si>
    <t>Niveau 0 m
Température -20°C
Conductivité 0 µS/cm</t>
  </si>
  <si>
    <t>Niveau  10m ou 50m ou 100m
Température -80°C
Conductivité 120 mS/cm</t>
  </si>
  <si>
    <t>Niveau  précision +/- 0,2% de la pleine échelle Température précision +/- 0,2°C
Conductivité +/- 0,1% de la valeur mesurée</t>
  </si>
  <si>
    <t>http://opendata.inrae.fr/thesaurusINRAE/c_17516</t>
  </si>
  <si>
    <t>Mesure de la température de l'eau</t>
  </si>
  <si>
    <t>http://opendata.inrae.fr/thesaurusINRAE/c_536</t>
  </si>
  <si>
    <t>Mesure de la profondeur de la nappe</t>
  </si>
  <si>
    <t>Piézomètre du bassin versant de Kerrien</t>
  </si>
  <si>
    <t>localisation des fichiers historiques à charger</t>
  </si>
  <si>
    <t>début des historiques</t>
  </si>
  <si>
    <t>fin des historiques</t>
  </si>
  <si>
    <t>Si oui, script d'actualisation des données à réaliser</t>
  </si>
  <si>
    <t>feature.type</t>
  </si>
  <si>
    <t>feature.coordinates</t>
  </si>
  <si>
    <t>type</t>
  </si>
  <si>
    <t>coordinates</t>
  </si>
  <si>
    <t>[-4.1235308,47.9402973]</t>
  </si>
  <si>
    <t>[-4.1227251,47.941086]</t>
  </si>
  <si>
    <t>[-2.831291,48.0057694]</t>
  </si>
  <si>
    <t>Family</t>
  </si>
  <si>
    <t>family *</t>
  </si>
  <si>
    <t>feature.type *</t>
  </si>
  <si>
    <t>feature.coordinates *</t>
  </si>
  <si>
    <r>
      <t xml:space="preserve">nom du phénomène observé au sens générique. </t>
    </r>
    <r>
      <rPr>
        <sz val="11"/>
        <color rgb="FFFF0000"/>
        <rFont val="Calibri"/>
        <family val="2"/>
        <scheme val="minor"/>
      </rPr>
      <t>Ne pas utliser les caractères _ et -</t>
    </r>
  </si>
  <si>
    <t>stream level</t>
  </si>
  <si>
    <t>water table level</t>
  </si>
  <si>
    <t>water temperature</t>
  </si>
  <si>
    <t>electric conductiviy</t>
  </si>
  <si>
    <t>dissolved oxygen</t>
  </si>
  <si>
    <t>OTT Thalimede</t>
  </si>
  <si>
    <t>Wimesure Pt100</t>
  </si>
  <si>
    <t>OTT PLS C</t>
  </si>
  <si>
    <t>OTT Limnigraphe</t>
  </si>
  <si>
    <t>PME miniDOt</t>
  </si>
  <si>
    <t>OTT Orpheus</t>
  </si>
  <si>
    <t>OTT CTD</t>
  </si>
  <si>
    <t>Diver CTD</t>
  </si>
  <si>
    <t>Outlet E30</t>
  </si>
  <si>
    <t>Outlet Exutoire</t>
  </si>
  <si>
    <t>Piezo F5b</t>
  </si>
  <si>
    <t>Piezometer F4</t>
  </si>
  <si>
    <t>encodingType</t>
  </si>
  <si>
    <t>lien html (URL) vers description fabricant</t>
  </si>
  <si>
    <t>metadata</t>
  </si>
  <si>
    <t>application/pdf</t>
  </si>
  <si>
    <t>Outlet E30_OTT PLS C_stream level</t>
  </si>
  <si>
    <t>Outlet E30_OTT PLS C_water temperature</t>
  </si>
  <si>
    <t>Outlet E30_OTT PLS C_electric conductiviy</t>
  </si>
  <si>
    <t>Outlet E30_OTT Limnigraphe_stream level</t>
  </si>
  <si>
    <t>Outlet Exutoire_PME miniDOt_dissolved oxygen</t>
  </si>
  <si>
    <t>Outlet Exutoire_PME miniDOt_water temperature</t>
  </si>
  <si>
    <t>Outlet Exutoire_Wimesure Pt100_water temperature_1</t>
  </si>
  <si>
    <t>Outlet Exutoire_Wimesure Pt100_water temperature_2</t>
  </si>
  <si>
    <t>featureOfInterest</t>
  </si>
  <si>
    <t>[-4.1208244,47.9441891]</t>
  </si>
  <si>
    <t>-4.1225196</t>
  </si>
  <si>
    <t>47.942188</t>
  </si>
  <si>
    <t>-4.1227251</t>
  </si>
  <si>
    <t>47.941086</t>
  </si>
  <si>
    <t>-4.1208244</t>
  </si>
  <si>
    <t>47.9441891</t>
  </si>
  <si>
    <t>Outlet E30_OTT Thalimede_stream level</t>
  </si>
  <si>
    <t>Outlet E30_Wimesure Pt100_water temperature</t>
  </si>
  <si>
    <t>pH</t>
  </si>
  <si>
    <t xml:space="preserve">http://opendata.inrae.fr/thesaurusINRAE/c_17430 ; https://w3id.org/ozcar-theia/c_7cc0e53c </t>
  </si>
  <si>
    <t>potentiel Hydrogene</t>
  </si>
  <si>
    <t>unite pH</t>
  </si>
  <si>
    <t>pH u</t>
  </si>
  <si>
    <t>https://unitsofmeasure.org/ucum#para-45</t>
  </si>
  <si>
    <t>Redox potential</t>
  </si>
  <si>
    <t xml:space="preserve">http://opendata.inrae.fr/thesaurusINRAE/c_9760 ; https://w3id.org/ozcar-theia/c_163c0159 </t>
  </si>
  <si>
    <t>potentiel d'oxidoreduction</t>
  </si>
  <si>
    <t>millivolt</t>
  </si>
  <si>
    <t>mV</t>
  </si>
  <si>
    <t>https://unitsofmeasure.org/ucum#para-30</t>
  </si>
  <si>
    <t>ammonium</t>
  </si>
  <si>
    <t xml:space="preserve">http://opendata.inrae.fr/thesaurusINRAE/c_15723 , https://w3id.org/ozcar-theia/c_0f242e7b </t>
  </si>
  <si>
    <t>Concentration en ammonium</t>
  </si>
  <si>
    <t>dissolved organic carbon</t>
  </si>
  <si>
    <t xml:space="preserve">http://opendata.inrae.fr/thesaurusINRAE/c_15724 ; https://w3id.org/ozcar-theia/c_5c4e993c </t>
  </si>
  <si>
    <t>Concentration en carbone organique dissous de l'eau</t>
  </si>
  <si>
    <t>turbidity</t>
  </si>
  <si>
    <t>http://opendata.inrae.fr/thesaurusINRAE/c_15737; https://w3id.org/ozcar-theia/c_f1eeae27</t>
  </si>
  <si>
    <t>Turbidite de l'eau</t>
  </si>
  <si>
    <t>Formazine Turbidity Unity</t>
  </si>
  <si>
    <t>FTU</t>
  </si>
  <si>
    <t>https://en.wikipedia.org/wiki/Turbidity#Measurement</t>
  </si>
  <si>
    <t>total phosphorus</t>
  </si>
  <si>
    <t>https://mdm.sandre.eaufrance.fr/id/parametre/1350/html</t>
  </si>
  <si>
    <t>Concentration en phosphore total</t>
  </si>
  <si>
    <t>orthophosphates</t>
  </si>
  <si>
    <t>https://mdm.sandre.eaufrance.fr/id/parametre/1433/html</t>
  </si>
  <si>
    <t>Concentration en orthophosphates</t>
  </si>
  <si>
    <t>potassium</t>
  </si>
  <si>
    <t>http://opendata.inrae.fr/thesaurusINRAE/c_15734</t>
  </si>
  <si>
    <t>Concentration en potassium</t>
  </si>
  <si>
    <t>sodium</t>
  </si>
  <si>
    <t>http://opendata.inrae.fr/thesaurusINRAE/c_15787</t>
  </si>
  <si>
    <t>Concentration en sodium</t>
  </si>
  <si>
    <t>magnesium</t>
  </si>
  <si>
    <t>http://opendata.inrae.fr/thesaurusINRAE/c_15747</t>
  </si>
  <si>
    <t>Concentration en magnesium</t>
  </si>
  <si>
    <t>rainfall</t>
  </si>
  <si>
    <t>http://opendata.inrae.fr/thesaurusINRAE/c_11431 , https://w3id.org/ozcar-theia/c_9484dacd</t>
  </si>
  <si>
    <t>hauteur des precipitations mesuree avec pluviometre</t>
  </si>
  <si>
    <t>millimetres</t>
  </si>
  <si>
    <t>mm</t>
  </si>
  <si>
    <t>http://unitsofmeasure.org/ucum.html#para-28</t>
  </si>
  <si>
    <t>meteorologie</t>
  </si>
  <si>
    <t>air temperature</t>
  </si>
  <si>
    <t xml:space="preserve">http://opendata.inrae.fr/thesaurusINRAE/c_1243 , https://w3id.org/ozcar-theia/c_650214c2 </t>
  </si>
  <si>
    <t>temperature instantane de l'air</t>
  </si>
  <si>
    <t>Celsius degree</t>
  </si>
  <si>
    <t>Global Radiation</t>
  </si>
  <si>
    <t xml:space="preserve">http://opendata.inrae.fr/thesaurusINRAE/c_5109 , https://w3id.org/ozcar-theia/c_be41c571 </t>
  </si>
  <si>
    <t>rayonnement mesure avec un pyranometre</t>
  </si>
  <si>
    <t>Joules par centimetre carre</t>
  </si>
  <si>
    <t>Joules/cm2</t>
  </si>
  <si>
    <t>PAR</t>
  </si>
  <si>
    <t>https://w3id.org/ozcar-theia/c_9530bac1 , http://opendata.inrae.fr/thesaurusINRAE/c_14024</t>
  </si>
  <si>
    <t>rayonnement photosynthetiquement actif</t>
  </si>
  <si>
    <t>Air humidity</t>
  </si>
  <si>
    <t xml:space="preserve">http://opendata.inrae.fr/thesaurusINRAE/c_13239 , https://w3id.org/ozcar-theia/c_b9bb91f1 </t>
  </si>
  <si>
    <t>humidite de l'air instantanee sous abri</t>
  </si>
  <si>
    <t>pourcentage</t>
  </si>
  <si>
    <t>%</t>
  </si>
  <si>
    <t>http://unitsofmeasure.org/ucum.html#para-29</t>
  </si>
  <si>
    <t>Max wind speed</t>
  </si>
  <si>
    <t xml:space="preserve">http://opendata.inrae.fr/thesaurusINRAE/c_4520 , https://w3id.org/ozcar-theia/c_9d7b9e5f </t>
  </si>
  <si>
    <t>Vitesse maximale horaire du vent mesuree avec un anemometre a 2m</t>
  </si>
  <si>
    <t>metres par seconde</t>
  </si>
  <si>
    <t>m/s</t>
  </si>
  <si>
    <t>PET Penman</t>
  </si>
  <si>
    <t xml:space="preserve">http://opendata.inrae.fr/thesaurusINRAE/c_241 , https://w3id.org/ozcar-theia/c_6db0faac </t>
  </si>
  <si>
    <t>Evapotranspiration potentielle journaliere calculee par la formule de Penman</t>
  </si>
  <si>
    <t>Water level gauge</t>
  </si>
  <si>
    <t>releve de niveau d'eau sur echelle limnimetrique</t>
  </si>
  <si>
    <t>Niveau 0 m</t>
  </si>
  <si>
    <t xml:space="preserve">+/-0,005 m </t>
  </si>
  <si>
    <t>Sscan Spectrolyzer</t>
  </si>
  <si>
    <t xml:space="preserve">Spectrophotometre UV visible immerge </t>
  </si>
  <si>
    <t>https://hal.science/hal-01219005</t>
  </si>
  <si>
    <t>Concentration en nitrates 0,3 mg NO3/L Concentration en DOC 0,5 mg C/L Turbidite 5 FTU</t>
  </si>
  <si>
    <t>Concentration en nitrates 70 mg NO3/L Concentration en DOC 75 mg C/L Turbidite 1400 FTU</t>
  </si>
  <si>
    <t>Precision nitrates +/- 0,66 mg/L  Precision Carbone +/- 1 mg/L et Precision MES +/- 5 mg/L</t>
  </si>
  <si>
    <t>turbidite</t>
  </si>
  <si>
    <t>Hach Phosphax</t>
  </si>
  <si>
    <t xml:space="preserve">Analyseur en ligne de phosphore </t>
  </si>
  <si>
    <t>https://fr.hach.com/analyseurs-de-phosphates/analyseur-de-phosphate-phosphax-sigma/family?productCategoryId=25033233204; https://hal.science/hal-03810280v1</t>
  </si>
  <si>
    <t>0,01 mg P/L</t>
  </si>
  <si>
    <t>5 mg P/L</t>
  </si>
  <si>
    <t>precision: +/- 0,05 mg P/L</t>
  </si>
  <si>
    <t>Turbidimeter Ponsel</t>
  </si>
  <si>
    <t>Sonde turbidimetrique</t>
  </si>
  <si>
    <t>https://hal.inrae.fr/hal-03280952</t>
  </si>
  <si>
    <t>0 FTU</t>
  </si>
  <si>
    <t>2000 FTU</t>
  </si>
  <si>
    <t>+/- 5% de la valeur mesuree</t>
  </si>
  <si>
    <t>Dionex DX100 Chromatographie ionique</t>
  </si>
  <si>
    <t>Dionex DC3000 Chromatographie ionique</t>
  </si>
  <si>
    <t>Shimadzu TOC 5050A C Analyser</t>
  </si>
  <si>
    <t>Multiparameter probe</t>
  </si>
  <si>
    <t>Mohr Method titration</t>
  </si>
  <si>
    <t>Technicon auto analyzer</t>
  </si>
  <si>
    <t>Perkin Elmer 3100 Atomic Absorption Spectrometer</t>
  </si>
  <si>
    <t>Smartchem 200 Analyser</t>
  </si>
  <si>
    <t>sensor9</t>
  </si>
  <si>
    <t>sensor10</t>
  </si>
  <si>
    <t>sensor11</t>
  </si>
  <si>
    <t>sensor12</t>
  </si>
  <si>
    <t>sensor13</t>
  </si>
  <si>
    <t xml:space="preserve">Sscan Spectrolyzer </t>
  </si>
  <si>
    <t>Piezometer PK1</t>
  </si>
  <si>
    <t>Piezometre du bassin versant de Kerrolland</t>
  </si>
  <si>
    <t>[-2.839001,48.011804]</t>
  </si>
  <si>
    <t>Piezometer PK2</t>
  </si>
  <si>
    <t>[-2.8396371,48.0121575]</t>
  </si>
  <si>
    <t>Piezometer PK3</t>
  </si>
  <si>
    <t>[-2.8405531,48.0126831]</t>
  </si>
  <si>
    <t>Piezometer PK4</t>
  </si>
  <si>
    <t>[-2.8408983,48.0128886]</t>
  </si>
  <si>
    <t>Piezometer PK5</t>
  </si>
  <si>
    <t>[-2.8389207,48.0118071]</t>
  </si>
  <si>
    <t>Piezometer PK6</t>
  </si>
  <si>
    <t>[-2.8395622,48.0122149]</t>
  </si>
  <si>
    <t>Piezometer PG1</t>
  </si>
  <si>
    <t>Piezometre du bassin versant de Gueriniec</t>
  </si>
  <si>
    <t>[-2.826635, 48.0177489]</t>
  </si>
  <si>
    <t>Piezometer PG2</t>
  </si>
  <si>
    <t>[-2.8265997,48.0177202]</t>
  </si>
  <si>
    <t>Piezometer PG3</t>
  </si>
  <si>
    <t>[-2.8264024,48.0175128]</t>
  </si>
  <si>
    <t>Piezometer PG4</t>
  </si>
  <si>
    <t>[-2.8256386,48.0169357]</t>
  </si>
  <si>
    <t>Piezometer PG5</t>
  </si>
  <si>
    <t>[-2.8247023,48.0157133]</t>
  </si>
  <si>
    <t>Piezometer PG6</t>
  </si>
  <si>
    <t>[-2.82352,48.0141797]</t>
  </si>
  <si>
    <t>Station Meteo Toullo</t>
  </si>
  <si>
    <t>Station meteorologique du bassin versant de Naizin</t>
  </si>
  <si>
    <t>[-2.8163832,48.0051729]</t>
  </si>
  <si>
    <t>Station Meteo Plomelin</t>
  </si>
  <si>
    <t>Station meteorologique des bassins versants de Kerbernez</t>
  </si>
  <si>
    <t>[-4.1279763,47.9460547]</t>
  </si>
  <si>
    <t>Outlet E3</t>
  </si>
  <si>
    <t>exutoire du bassin versant de Kerrien</t>
  </si>
  <si>
    <t>Outlet E4</t>
  </si>
  <si>
    <t>exutoire du bassin versant de Kerbernez</t>
  </si>
  <si>
    <t>Outlet E31</t>
  </si>
  <si>
    <t>exutoire du bassin versant de Guerveur</t>
  </si>
  <si>
    <t>Outlet E10</t>
  </si>
  <si>
    <t>exutoire du bassin versant de Coat Timon</t>
  </si>
  <si>
    <t>Outlet E35</t>
  </si>
  <si>
    <t>source du bassin versant de Kerrien</t>
  </si>
  <si>
    <t>Outlet E12</t>
  </si>
  <si>
    <t>source du bassin versant de Ty Garde</t>
  </si>
  <si>
    <t>Outlet E13</t>
  </si>
  <si>
    <t>exutoire du bassin versant de Ty Garde</t>
  </si>
  <si>
    <t>Outlet E19</t>
  </si>
  <si>
    <t>exutoire du bassin versant de Pont Lenn</t>
  </si>
  <si>
    <t>Outlet E18</t>
  </si>
  <si>
    <t>source du bassin versant de Pont Lenn</t>
  </si>
  <si>
    <t>Outlet E34</t>
  </si>
  <si>
    <t>exutoire du bassin versant de Nead Meur</t>
  </si>
  <si>
    <t>Outlet E9</t>
  </si>
  <si>
    <t>source du bassin versant de Coat Timon</t>
  </si>
  <si>
    <t>Outlet E6</t>
  </si>
  <si>
    <t>exutoire intermediaire du bassin versant du Puits amont etang</t>
  </si>
  <si>
    <t>Outlet E11</t>
  </si>
  <si>
    <t xml:space="preserve">source du bassin versant de Coat Timon </t>
  </si>
  <si>
    <t>Outlet E30_Water level gauge_stream level</t>
  </si>
  <si>
    <t>Outlet Exutoire_OTT PLS C_stream level</t>
  </si>
  <si>
    <t>Outlet Exutoire_OTT PLS C_water temperature</t>
  </si>
  <si>
    <t>Outlet Exutoire_OTT PLS C_electric conductiviy</t>
  </si>
  <si>
    <t>Outlet Exutoire_OTT Thalimede_stream level</t>
  </si>
  <si>
    <t>Outlet Exutoire_Hach Phosphax_total phosphorus</t>
  </si>
  <si>
    <t>Outlet Exutoire_Hach Phosphax_orthophosphates</t>
  </si>
  <si>
    <t>Outlet Exutoire_Turbidimeter Ponsel_turbidity</t>
  </si>
  <si>
    <r>
      <t xml:space="preserve">Contruction du nom: Marque modèle. </t>
    </r>
    <r>
      <rPr>
        <sz val="11"/>
        <color rgb="FFFF0000"/>
        <rFont val="Calibri"/>
        <family val="2"/>
        <scheme val="minor"/>
      </rPr>
      <t>Ne pas utliser les caractères _ et -</t>
    </r>
  </si>
  <si>
    <r>
      <t xml:space="preserve">Dans le cas Agrhys, construction du nom = type d'équipement  point de mesure. Voir onglet </t>
    </r>
    <r>
      <rPr>
        <b/>
        <sz val="11"/>
        <color theme="1"/>
        <rFont val="Calibri"/>
        <family val="2"/>
        <scheme val="minor"/>
      </rPr>
      <t xml:space="preserve">liste_coordXY_Agrhys.  </t>
    </r>
    <r>
      <rPr>
        <b/>
        <sz val="11"/>
        <color rgb="FFFF0000"/>
        <rFont val="Calibri"/>
        <family val="2"/>
        <scheme val="minor"/>
      </rPr>
      <t>Ne pas utliser les caractères _ et -</t>
    </r>
  </si>
  <si>
    <t>Les champs suivants sont à ajouter si nécessaire. Dépend de votre système</t>
  </si>
  <si>
    <t>Piezo A1a</t>
  </si>
  <si>
    <t>Piezo A1b</t>
  </si>
  <si>
    <t>Piezo A2</t>
  </si>
  <si>
    <t>Piezo A3</t>
  </si>
  <si>
    <t>piezometre du bassin versant de Kerbernez</t>
  </si>
  <si>
    <t>Piezo F5a</t>
  </si>
  <si>
    <t>Piezo F4</t>
  </si>
  <si>
    <t>Piezo F3</t>
  </si>
  <si>
    <t>Piezo F2</t>
  </si>
  <si>
    <t>Piezo F1a</t>
  </si>
  <si>
    <t>Piezo B4</t>
  </si>
  <si>
    <t>Piezo B5a</t>
  </si>
  <si>
    <t>Piezo B5b</t>
  </si>
  <si>
    <t>Piezo F1b</t>
  </si>
  <si>
    <t>Piezo F1c</t>
  </si>
  <si>
    <t>releve de niveau de nappe à la sonde lumineuse</t>
  </si>
  <si>
    <t>picture</t>
  </si>
  <si>
    <t>Picture</t>
  </si>
  <si>
    <t>chemin vers une image ou  photo</t>
  </si>
  <si>
    <t>Coordinates</t>
  </si>
  <si>
    <t>Coordonnées GPS, format WGS64, saisir sous le format [X,Y]</t>
  </si>
  <si>
    <t>Groundwater level probe</t>
  </si>
  <si>
    <t>[-4.1235864, 47.9403024]</t>
  </si>
  <si>
    <t>[-4.1227251, 47.941086]</t>
  </si>
  <si>
    <t>[-4.1224892, 47.9415639]</t>
  </si>
  <si>
    <t>[-4.1224929, 47.9418098]</t>
  </si>
  <si>
    <t>[-4.1224043, 47.9420743]</t>
  </si>
  <si>
    <t>[-4.1224033, 47.9420746]</t>
  </si>
  <si>
    <t>[-4.1275665, 47.9428786]</t>
  </si>
  <si>
    <t>[-4.1275829, 47.9428357]</t>
  </si>
  <si>
    <t>[-4.1255041, 47.9430786]</t>
  </si>
  <si>
    <t>[-4.1230636, 47.9428241]</t>
  </si>
  <si>
    <t>[-4.1227939, 47.9430084]</t>
  </si>
  <si>
    <t>[-4.1224178, 47.9427243]</t>
  </si>
  <si>
    <t>[-4.1204255, 47.9452262]</t>
  </si>
  <si>
    <t>[-4.1197551, 47.945335]</t>
  </si>
  <si>
    <t>[-4.1272423, 47.945159]</t>
  </si>
  <si>
    <t>[-4.1249762, 47.9506576]</t>
  </si>
  <si>
    <t>Outlet E30 stream level</t>
  </si>
  <si>
    <t>Outlet E30 water temperature</t>
  </si>
  <si>
    <t>Outlet E30 electric conductiviy</t>
  </si>
  <si>
    <t>Outlet Exutoire stream level</t>
  </si>
  <si>
    <t>Outlet Exutoire water temperature</t>
  </si>
  <si>
    <t>Outlet Exutoire electric conductiviy</t>
  </si>
  <si>
    <t>Outlet Exutoire dissolved oxygen</t>
  </si>
  <si>
    <t>Outlet Exutoire total phosphorus</t>
  </si>
  <si>
    <t>Outlet Exutoire orthophosphates</t>
  </si>
  <si>
    <t>Outlet Exutoire turbidity</t>
  </si>
  <si>
    <t>création automatique = nom Thing.name</t>
  </si>
  <si>
    <t>création automatique = nom Thing.description</t>
  </si>
  <si>
    <t>création automatique = nom Thing.type</t>
  </si>
  <si>
    <t>création automatique = nom Thing.coordinates</t>
  </si>
  <si>
    <r>
      <t xml:space="preserve">champs libre pré-rempli. Les cellules colorisées indiquent des </t>
    </r>
    <r>
      <rPr>
        <b/>
        <sz val="11"/>
        <color theme="1"/>
        <rFont val="Calibri"/>
        <family val="2"/>
        <scheme val="minor"/>
      </rPr>
      <t>doublons.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Action Manuelle = rendre les descriptions uniques</t>
    </r>
  </si>
  <si>
    <t>[-4.122302,47.9425391]</t>
  </si>
  <si>
    <t>[-4.1223595,47.9426332]</t>
  </si>
  <si>
    <t>[-4.1212664,47.9427801]</t>
  </si>
  <si>
    <t>[-4.1206352, 47.9457982]</t>
  </si>
  <si>
    <t>[-4.1239621, 47.9416334]</t>
  </si>
  <si>
    <t>[-4.1281872, 47.9476632]</t>
  </si>
  <si>
    <t>[-4.1249301, 47.9502368]</t>
  </si>
  <si>
    <t>[-4.1298324, 47.953567]</t>
  </si>
  <si>
    <t>[-4.1307682, 47.9537324]</t>
  </si>
  <si>
    <t>[-4.1224054, 47.942074]</t>
  </si>
  <si>
    <r>
      <t xml:space="preserve">1: Renseigner les onglets </t>
    </r>
    <r>
      <rPr>
        <b/>
        <sz val="11"/>
        <color theme="1"/>
        <rFont val="Calibri"/>
        <family val="2"/>
        <scheme val="minor"/>
      </rPr>
      <t>1_observedProperty, 2_sensor, 3 _thing, 5_featureOfInterest</t>
    </r>
    <r>
      <rPr>
        <sz val="11"/>
        <color theme="1"/>
        <rFont val="Calibri"/>
        <family val="2"/>
        <scheme val="minor"/>
      </rPr>
      <t xml:space="preserve">, puis </t>
    </r>
    <r>
      <rPr>
        <b/>
        <sz val="11"/>
        <color theme="1"/>
        <rFont val="Calibri"/>
        <family val="2"/>
        <scheme val="minor"/>
      </rPr>
      <t>actualiser</t>
    </r>
    <r>
      <rPr>
        <sz val="11"/>
        <color theme="1"/>
        <rFont val="Calibri"/>
        <family val="2"/>
        <scheme val="minor"/>
      </rPr>
      <t xml:space="preserve"> les données dans l'onglet </t>
    </r>
    <r>
      <rPr>
        <b/>
        <sz val="11"/>
        <color theme="1"/>
        <rFont val="Calibri"/>
        <family val="2"/>
        <scheme val="minor"/>
      </rPr>
      <t>4_datastream</t>
    </r>
    <r>
      <rPr>
        <sz val="11"/>
        <color theme="1"/>
        <rFont val="Calibri"/>
        <family val="2"/>
        <scheme val="minor"/>
      </rPr>
      <t xml:space="preserve">.
2:  </t>
    </r>
    <r>
      <rPr>
        <sz val="11"/>
        <color rgb="FFFF0000"/>
        <rFont val="Calibri"/>
        <family val="2"/>
        <scheme val="minor"/>
      </rPr>
      <t>Adapter les noms (colonne name_final) si nécessaire</t>
    </r>
    <r>
      <rPr>
        <sz val="11"/>
        <color theme="1"/>
        <rFont val="Calibri"/>
        <family val="2"/>
        <scheme val="minor"/>
      </rPr>
      <t xml:space="preserve">. </t>
    </r>
    <r>
      <rPr>
        <sz val="11"/>
        <color rgb="FFFF0000"/>
        <rFont val="Calibri"/>
        <family val="2"/>
        <scheme val="minor"/>
      </rPr>
      <t xml:space="preserve">Attention: Une action sur le bouton </t>
    </r>
    <r>
      <rPr>
        <b/>
        <sz val="11"/>
        <color rgb="FFFF0000"/>
        <rFont val="Calibri"/>
        <family val="2"/>
        <scheme val="minor"/>
      </rPr>
      <t>Actualiser</t>
    </r>
    <r>
      <rPr>
        <sz val="11"/>
        <color rgb="FFFF0000"/>
        <rFont val="Calibri"/>
        <family val="2"/>
        <scheme val="minor"/>
      </rPr>
      <t xml:space="preserve"> effacera vos modifications
</t>
    </r>
    <r>
      <rPr>
        <sz val="11"/>
        <color theme="1"/>
        <rFont val="Calibri"/>
        <family val="2"/>
        <scheme val="minor"/>
      </rPr>
      <t xml:space="preserve">
Le séparateur décimal le </t>
    </r>
    <r>
      <rPr>
        <b/>
        <sz val="11"/>
        <color theme="1"/>
        <rFont val="Calibri"/>
        <family val="2"/>
        <scheme val="minor"/>
      </rPr>
      <t>point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FF0000"/>
        <rFont val="Calibri"/>
        <family val="2"/>
        <scheme val="minor"/>
      </rPr>
      <t xml:space="preserve">Ne modifier pas la structure des onglets en rouge. Si présence de doublons dans la colonne </t>
    </r>
    <r>
      <rPr>
        <b/>
        <sz val="11"/>
        <color rgb="FFFF0000"/>
        <rFont val="Calibri"/>
        <family val="2"/>
        <scheme val="minor"/>
      </rPr>
      <t>name,</t>
    </r>
    <r>
      <rPr>
        <sz val="11"/>
        <color rgb="FFFF0000"/>
        <rFont val="Calibri"/>
        <family val="2"/>
        <scheme val="minor"/>
      </rPr>
      <t xml:space="preserve"> les cellules passent en rouge.
Ne pas utliser les caractères _ et -. Ces caractères seront automatiquement supprimés des colonnes </t>
    </r>
    <r>
      <rPr>
        <b/>
        <sz val="11"/>
        <color rgb="FFFF0000"/>
        <rFont val="Calibri"/>
        <family val="2"/>
        <scheme val="minor"/>
      </rPr>
      <t xml:space="preserve">name.
Vérifier les menus déroulants des onglets 2_sensor (colonnes observedPropertyn), 3_thing (colonnes sensorn ) et 4_datastream (colonne featureOfInterest ). </t>
    </r>
    <r>
      <rPr>
        <sz val="11"/>
        <color theme="1"/>
        <rFont val="Calibri"/>
        <family val="2"/>
        <scheme val="minor"/>
      </rPr>
      <t xml:space="preserve">
Eviter de laisser des lignes vides. 
Le nom des colonnes en fond blanc sont standards et ne doivent pas être modifiés.
Les colonnes </t>
    </r>
    <r>
      <rPr>
        <b/>
        <sz val="11"/>
        <color theme="1"/>
        <rFont val="Calibri"/>
        <family val="2"/>
        <scheme val="minor"/>
      </rPr>
      <t>grisées</t>
    </r>
    <r>
      <rPr>
        <sz val="11"/>
        <color theme="1"/>
        <rFont val="Calibri"/>
        <family val="2"/>
        <scheme val="minor"/>
      </rPr>
      <t xml:space="preserve"> correspondent aux </t>
    </r>
    <r>
      <rPr>
        <b/>
        <sz val="11"/>
        <color theme="1"/>
        <rFont val="Calibri"/>
        <family val="2"/>
        <scheme val="minor"/>
      </rPr>
      <t>propriétés</t>
    </r>
    <r>
      <rPr>
        <sz val="11"/>
        <color theme="1"/>
        <rFont val="Calibri"/>
        <family val="2"/>
        <scheme val="minor"/>
      </rPr>
      <t xml:space="preserve"> de chaque entité. Elles sont </t>
    </r>
    <r>
      <rPr>
        <b/>
        <sz val="11"/>
        <color theme="1"/>
        <rFont val="Calibri"/>
        <family val="2"/>
        <scheme val="minor"/>
      </rPr>
      <t>personnalisables.</t>
    </r>
    <r>
      <rPr>
        <sz val="11"/>
        <color theme="1"/>
        <rFont val="Calibri"/>
        <family val="2"/>
        <scheme val="minor"/>
      </rPr>
      <t xml:space="preserve">
Données obligatoires repérées par une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 et en </t>
    </r>
    <r>
      <rPr>
        <sz val="11"/>
        <color rgb="FFFF0000"/>
        <rFont val="Calibri"/>
        <family val="2"/>
        <scheme val="minor"/>
      </rPr>
      <t>rouge</t>
    </r>
    <r>
      <rPr>
        <sz val="11"/>
        <color theme="1"/>
        <rFont val="Calibri"/>
        <family val="2"/>
        <scheme val="minor"/>
      </rPr>
      <t xml:space="preserve">.
</t>
    </r>
  </si>
  <si>
    <t>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</si>
</sst>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Arial Unicode MS"/>
    </font>
    <font>
      <u/>
      <sz val="10"/>
      <color theme="10"/>
      <name val="Arial"/>
      <family val="2"/>
    </font>
    <font>
      <u/>
      <sz val="11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9" fillId="0" borderId="0" applyNumberFormat="0" applyFill="0" applyBorder="0" applyProtection="0"/>
    <xf numFmtId="0" fontId="21" fillId="0" borderId="0"/>
    <xf numFmtId="0" fontId="25" fillId="0" borderId="0" applyNumberFormat="0" applyFill="0" applyBorder="0" applyAlignment="0" applyProtection="0"/>
    <xf numFmtId="0" fontId="31" fillId="0" borderId="0"/>
    <xf numFmtId="0" fontId="32" fillId="0" borderId="0" applyNumberFormat="0" applyFill="0" applyBorder="0" applyAlignment="0" applyProtection="0"/>
  </cellStyleXfs>
  <cellXfs count="143">
    <xf numFmtId="0" fontId="0" fillId="0" borderId="0" xfId="0"/>
    <xf numFmtId="0" fontId="18" fillId="0" borderId="0" xfId="2" applyFont="1" applyAlignment="1">
      <alignment horizontal="justify" vertical="center"/>
    </xf>
    <xf numFmtId="0" fontId="18" fillId="0" borderId="0" xfId="2" applyFont="1"/>
    <xf numFmtId="49" fontId="20" fillId="2" borderId="1" xfId="2" applyNumberFormat="1" applyFont="1" applyFill="1" applyBorder="1"/>
    <xf numFmtId="49" fontId="24" fillId="2" borderId="1" xfId="2" applyNumberFormat="1" applyFont="1" applyFill="1" applyBorder="1"/>
    <xf numFmtId="0" fontId="23" fillId="0" borderId="1" xfId="2" applyFont="1" applyBorder="1" applyAlignment="1">
      <alignment wrapText="1"/>
    </xf>
    <xf numFmtId="0" fontId="25" fillId="0" borderId="1" xfId="3" applyBorder="1" applyAlignment="1">
      <alignment wrapText="1"/>
    </xf>
    <xf numFmtId="49" fontId="18" fillId="2" borderId="1" xfId="2" applyNumberFormat="1" applyFont="1" applyFill="1" applyBorder="1"/>
    <xf numFmtId="0" fontId="23" fillId="0" borderId="1" xfId="2" applyFont="1" applyBorder="1" applyAlignment="1">
      <alignment horizontal="justify" vertical="center"/>
    </xf>
    <xf numFmtId="0" fontId="26" fillId="0" borderId="1" xfId="3" applyFont="1" applyBorder="1" applyAlignment="1">
      <alignment wrapText="1"/>
    </xf>
    <xf numFmtId="0" fontId="18" fillId="0" borderId="1" xfId="2" applyFont="1" applyBorder="1"/>
    <xf numFmtId="49" fontId="18" fillId="0" borderId="0" xfId="2" applyNumberFormat="1" applyFont="1"/>
    <xf numFmtId="0" fontId="18" fillId="0" borderId="1" xfId="2" applyFont="1" applyBorder="1" applyAlignment="1"/>
    <xf numFmtId="0" fontId="18" fillId="0" borderId="0" xfId="2" applyFont="1" applyAlignment="1"/>
    <xf numFmtId="0" fontId="19" fillId="0" borderId="1" xfId="1" applyBorder="1"/>
    <xf numFmtId="0" fontId="23" fillId="0" borderId="1" xfId="2" applyFont="1" applyBorder="1" applyAlignment="1">
      <alignment vertical="center" wrapText="1"/>
    </xf>
    <xf numFmtId="0" fontId="28" fillId="0" borderId="1" xfId="2" applyFont="1" applyFill="1" applyBorder="1"/>
    <xf numFmtId="0" fontId="0" fillId="0" borderId="1" xfId="0" applyBorder="1" applyAlignment="1"/>
    <xf numFmtId="0" fontId="20" fillId="0" borderId="1" xfId="4" applyFont="1" applyBorder="1"/>
    <xf numFmtId="0" fontId="17" fillId="0" borderId="0" xfId="4" applyFont="1"/>
    <xf numFmtId="0" fontId="17" fillId="0" borderId="1" xfId="4" applyFont="1" applyBorder="1"/>
    <xf numFmtId="0" fontId="27" fillId="0" borderId="1" xfId="5" applyFont="1" applyBorder="1"/>
    <xf numFmtId="49" fontId="29" fillId="4" borderId="0" xfId="4" applyNumberFormat="1" applyFont="1" applyFill="1"/>
    <xf numFmtId="49" fontId="20" fillId="0" borderId="2" xfId="4" applyNumberFormat="1" applyFont="1" applyBorder="1" applyAlignment="1">
      <alignment horizontal="right"/>
    </xf>
    <xf numFmtId="0" fontId="17" fillId="0" borderId="5" xfId="4" applyFont="1" applyBorder="1" applyAlignment="1">
      <alignment horizontal="left" wrapText="1" indent="1"/>
    </xf>
    <xf numFmtId="49" fontId="20" fillId="0" borderId="4" xfId="4" applyNumberFormat="1" applyFont="1" applyBorder="1" applyAlignment="1">
      <alignment horizontal="right"/>
    </xf>
    <xf numFmtId="49" fontId="17" fillId="0" borderId="0" xfId="4" applyNumberFormat="1" applyFont="1"/>
    <xf numFmtId="49" fontId="20" fillId="2" borderId="4" xfId="4" applyNumberFormat="1" applyFont="1" applyFill="1" applyBorder="1" applyAlignment="1">
      <alignment horizontal="right"/>
    </xf>
    <xf numFmtId="49" fontId="20" fillId="0" borderId="2" xfId="4" applyNumberFormat="1" applyFont="1" applyBorder="1" applyAlignment="1">
      <alignment horizontal="right" wrapText="1"/>
    </xf>
    <xf numFmtId="49" fontId="30" fillId="5" borderId="0" xfId="4" applyNumberFormat="1" applyFont="1" applyFill="1"/>
    <xf numFmtId="49" fontId="17" fillId="0" borderId="4" xfId="4" applyNumberFormat="1" applyFont="1" applyBorder="1"/>
    <xf numFmtId="49" fontId="17" fillId="0" borderId="6" xfId="4" applyNumberFormat="1" applyFont="1" applyBorder="1"/>
    <xf numFmtId="0" fontId="20" fillId="0" borderId="1" xfId="4" applyFont="1" applyFill="1" applyBorder="1"/>
    <xf numFmtId="0" fontId="17" fillId="0" borderId="0" xfId="4" applyFont="1" applyFill="1"/>
    <xf numFmtId="0" fontId="17" fillId="0" borderId="1" xfId="4" applyFont="1" applyFill="1" applyBorder="1"/>
    <xf numFmtId="0" fontId="23" fillId="0" borderId="0" xfId="4" applyFont="1" applyFill="1"/>
    <xf numFmtId="0" fontId="17" fillId="0" borderId="0" xfId="4" applyFont="1" applyAlignment="1">
      <alignment horizontal="left" wrapText="1" indent="1"/>
    </xf>
    <xf numFmtId="0" fontId="26" fillId="0" borderId="3" xfId="5" applyFont="1" applyBorder="1" applyAlignment="1">
      <alignment horizontal="left" wrapText="1" indent="1"/>
    </xf>
    <xf numFmtId="0" fontId="27" fillId="0" borderId="3" xfId="5" applyFont="1" applyBorder="1" applyAlignment="1">
      <alignment horizontal="left" wrapText="1" indent="1"/>
    </xf>
    <xf numFmtId="49" fontId="17" fillId="2" borderId="5" xfId="4" applyNumberFormat="1" applyFont="1" applyFill="1" applyBorder="1" applyAlignment="1">
      <alignment horizontal="left" wrapText="1" indent="1"/>
    </xf>
    <xf numFmtId="0" fontId="17" fillId="0" borderId="3" xfId="4" applyFont="1" applyBorder="1" applyAlignment="1">
      <alignment horizontal="left" wrapText="1" indent="1"/>
    </xf>
    <xf numFmtId="0" fontId="17" fillId="0" borderId="7" xfId="4" applyFont="1" applyBorder="1" applyAlignment="1">
      <alignment horizontal="left" wrapText="1" indent="1"/>
    </xf>
    <xf numFmtId="49" fontId="20" fillId="2" borderId="0" xfId="4" applyNumberFormat="1" applyFont="1" applyFill="1" applyBorder="1" applyAlignment="1">
      <alignment horizontal="right"/>
    </xf>
    <xf numFmtId="0" fontId="16" fillId="0" borderId="5" xfId="4" applyFont="1" applyBorder="1" applyAlignment="1">
      <alignment horizontal="left" wrapText="1" indent="1"/>
    </xf>
    <xf numFmtId="49" fontId="20" fillId="0" borderId="2" xfId="0" applyNumberFormat="1" applyFont="1" applyBorder="1" applyAlignment="1">
      <alignment horizontal="right"/>
    </xf>
    <xf numFmtId="0" fontId="27" fillId="0" borderId="3" xfId="3" applyFont="1" applyBorder="1" applyAlignment="1">
      <alignment horizontal="left" indent="1"/>
    </xf>
    <xf numFmtId="0" fontId="15" fillId="0" borderId="5" xfId="0" applyFont="1" applyBorder="1" applyAlignment="1">
      <alignment horizontal="left" indent="1"/>
    </xf>
    <xf numFmtId="0" fontId="33" fillId="0" borderId="5" xfId="0" applyFont="1" applyBorder="1" applyAlignment="1">
      <alignment horizontal="left" wrapText="1" indent="1"/>
    </xf>
    <xf numFmtId="49" fontId="20" fillId="3" borderId="2" xfId="4" applyNumberFormat="1" applyFont="1" applyFill="1" applyBorder="1"/>
    <xf numFmtId="49" fontId="20" fillId="3" borderId="3" xfId="4" applyNumberFormat="1" applyFont="1" applyFill="1" applyBorder="1"/>
    <xf numFmtId="49" fontId="14" fillId="0" borderId="6" xfId="4" applyNumberFormat="1" applyFont="1" applyBorder="1" applyAlignment="1">
      <alignment vertical="top" wrapText="1"/>
    </xf>
    <xf numFmtId="49" fontId="29" fillId="0" borderId="0" xfId="4" applyNumberFormat="1" applyFont="1" applyFill="1"/>
    <xf numFmtId="0" fontId="0" fillId="0" borderId="1" xfId="0" applyFill="1" applyBorder="1"/>
    <xf numFmtId="0" fontId="19" fillId="0" borderId="1" xfId="1" applyFill="1" applyBorder="1"/>
    <xf numFmtId="0" fontId="33" fillId="0" borderId="1" xfId="2" applyFont="1" applyBorder="1" applyAlignment="1">
      <alignment horizontal="justify" vertical="center"/>
    </xf>
    <xf numFmtId="0" fontId="33" fillId="0" borderId="1" xfId="0" applyFont="1" applyFill="1" applyBorder="1"/>
    <xf numFmtId="49" fontId="33" fillId="0" borderId="4" xfId="4" applyNumberFormat="1" applyFont="1" applyFill="1" applyBorder="1" applyAlignment="1">
      <alignment horizontal="right" vertical="center"/>
    </xf>
    <xf numFmtId="49" fontId="33" fillId="0" borderId="6" xfId="4" applyNumberFormat="1" applyFont="1" applyFill="1" applyBorder="1" applyAlignment="1">
      <alignment horizontal="right"/>
    </xf>
    <xf numFmtId="49" fontId="33" fillId="0" borderId="4" xfId="4" applyNumberFormat="1" applyFont="1" applyBorder="1" applyAlignment="1">
      <alignment horizontal="right" vertical="center"/>
    </xf>
    <xf numFmtId="49" fontId="14" fillId="0" borderId="2" xfId="4" applyNumberFormat="1" applyFont="1" applyBorder="1" applyAlignment="1">
      <alignment horizontal="right"/>
    </xf>
    <xf numFmtId="0" fontId="33" fillId="0" borderId="1" xfId="0" applyFont="1" applyBorder="1" applyAlignment="1"/>
    <xf numFmtId="0" fontId="23" fillId="0" borderId="5" xfId="4" applyFont="1" applyFill="1" applyBorder="1" applyAlignment="1">
      <alignment horizontal="left" vertical="center" wrapText="1" indent="1"/>
    </xf>
    <xf numFmtId="49" fontId="33" fillId="0" borderId="4" xfId="4" applyNumberFormat="1" applyFont="1" applyFill="1" applyBorder="1" applyAlignment="1">
      <alignment horizontal="right"/>
    </xf>
    <xf numFmtId="0" fontId="33" fillId="0" borderId="5" xfId="0" applyFont="1" applyFill="1" applyBorder="1" applyAlignment="1">
      <alignment horizontal="left" indent="1"/>
    </xf>
    <xf numFmtId="49" fontId="33" fillId="0" borderId="4" xfId="0" applyNumberFormat="1" applyFont="1" applyBorder="1" applyAlignment="1">
      <alignment horizontal="right" vertical="top"/>
    </xf>
    <xf numFmtId="49" fontId="33" fillId="0" borderId="4" xfId="0" applyNumberFormat="1" applyFont="1" applyBorder="1" applyAlignment="1">
      <alignment horizontal="right"/>
    </xf>
    <xf numFmtId="0" fontId="33" fillId="0" borderId="4" xfId="0" applyFont="1" applyFill="1" applyBorder="1" applyAlignment="1">
      <alignment horizontal="right" vertical="center"/>
    </xf>
    <xf numFmtId="0" fontId="32" fillId="0" borderId="3" xfId="5" applyBorder="1" applyAlignment="1">
      <alignment horizontal="left" indent="1"/>
    </xf>
    <xf numFmtId="0" fontId="14" fillId="0" borderId="5" xfId="0" applyFont="1" applyBorder="1" applyAlignment="1">
      <alignment horizontal="left" indent="1"/>
    </xf>
    <xf numFmtId="49" fontId="33" fillId="0" borderId="4" xfId="0" applyNumberFormat="1" applyFont="1" applyFill="1" applyBorder="1" applyAlignment="1">
      <alignment horizontal="right" vertical="center"/>
    </xf>
    <xf numFmtId="0" fontId="33" fillId="0" borderId="6" xfId="0" applyFont="1" applyFill="1" applyBorder="1" applyAlignment="1">
      <alignment horizontal="right"/>
    </xf>
    <xf numFmtId="0" fontId="14" fillId="0" borderId="5" xfId="4" applyFont="1" applyBorder="1" applyAlignment="1">
      <alignment horizontal="left" wrapText="1" indent="1"/>
    </xf>
    <xf numFmtId="49" fontId="14" fillId="0" borderId="4" xfId="4" applyNumberFormat="1" applyFont="1" applyBorder="1" applyAlignment="1">
      <alignment horizontal="right"/>
    </xf>
    <xf numFmtId="49" fontId="33" fillId="0" borderId="4" xfId="0" applyNumberFormat="1" applyFont="1" applyBorder="1" applyAlignment="1">
      <alignment horizontal="right" vertical="center"/>
    </xf>
    <xf numFmtId="0" fontId="33" fillId="0" borderId="1" xfId="2" applyFont="1" applyBorder="1"/>
    <xf numFmtId="0" fontId="13" fillId="0" borderId="7" xfId="4" applyFont="1" applyFill="1" applyBorder="1" applyAlignment="1">
      <alignment horizontal="left" wrapText="1" indent="1"/>
    </xf>
    <xf numFmtId="49" fontId="13" fillId="0" borderId="7" xfId="4" applyNumberFormat="1" applyFont="1" applyFill="1" applyBorder="1" applyAlignment="1">
      <alignment horizontal="left" wrapText="1" indent="1"/>
    </xf>
    <xf numFmtId="0" fontId="0" fillId="7" borderId="1" xfId="0" applyFill="1" applyBorder="1"/>
    <xf numFmtId="0" fontId="19" fillId="7" borderId="1" xfId="1" applyFill="1" applyBorder="1"/>
    <xf numFmtId="0" fontId="23" fillId="0" borderId="1" xfId="2" applyFont="1" applyFill="1" applyBorder="1" applyAlignment="1">
      <alignment vertical="center" wrapText="1"/>
    </xf>
    <xf numFmtId="0" fontId="26" fillId="0" borderId="1" xfId="3" applyFont="1" applyFill="1" applyBorder="1" applyAlignment="1">
      <alignment vertical="center" wrapText="1"/>
    </xf>
    <xf numFmtId="0" fontId="26" fillId="0" borderId="1" xfId="3" applyFont="1" applyFill="1" applyBorder="1" applyAlignment="1">
      <alignment vertical="center"/>
    </xf>
    <xf numFmtId="0" fontId="22" fillId="0" borderId="4" xfId="0" applyFont="1" applyFill="1" applyBorder="1" applyAlignment="1">
      <alignment horizontal="right" vertical="center"/>
    </xf>
    <xf numFmtId="0" fontId="22" fillId="0" borderId="6" xfId="0" applyFont="1" applyFill="1" applyBorder="1" applyAlignment="1">
      <alignment horizontal="right" vertical="center"/>
    </xf>
    <xf numFmtId="0" fontId="23" fillId="0" borderId="5" xfId="0" applyFont="1" applyFill="1" applyBorder="1" applyAlignment="1">
      <alignment horizontal="left" indent="1"/>
    </xf>
    <xf numFmtId="0" fontId="23" fillId="0" borderId="7" xfId="0" applyFont="1" applyFill="1" applyBorder="1" applyAlignment="1">
      <alignment horizontal="left" indent="1"/>
    </xf>
    <xf numFmtId="0" fontId="23" fillId="0" borderId="5" xfId="0" applyFont="1" applyFill="1" applyBorder="1" applyAlignment="1">
      <alignment horizontal="left" wrapText="1" indent="1"/>
    </xf>
    <xf numFmtId="49" fontId="33" fillId="0" borderId="1" xfId="0" applyNumberFormat="1" applyFont="1" applyBorder="1" applyAlignment="1"/>
    <xf numFmtId="49" fontId="18" fillId="0" borderId="0" xfId="2" applyNumberFormat="1" applyFont="1" applyAlignment="1">
      <alignment horizontal="justify" vertical="center"/>
    </xf>
    <xf numFmtId="0" fontId="33" fillId="0" borderId="4" xfId="0" applyFont="1" applyFill="1" applyBorder="1" applyAlignment="1">
      <alignment horizontal="right"/>
    </xf>
    <xf numFmtId="0" fontId="12" fillId="0" borderId="5" xfId="4" applyFont="1" applyBorder="1" applyAlignment="1">
      <alignment horizontal="left" wrapText="1" indent="1"/>
    </xf>
    <xf numFmtId="0" fontId="33" fillId="0" borderId="0" xfId="0" applyFont="1"/>
    <xf numFmtId="49" fontId="33" fillId="0" borderId="1" xfId="2" applyNumberFormat="1" applyFont="1" applyBorder="1" applyAlignment="1">
      <alignment horizontal="justify" vertical="center"/>
    </xf>
    <xf numFmtId="49" fontId="23" fillId="0" borderId="1" xfId="2" applyNumberFormat="1" applyFont="1" applyBorder="1" applyAlignment="1">
      <alignment wrapText="1"/>
    </xf>
    <xf numFmtId="49" fontId="18" fillId="0" borderId="1" xfId="2" applyNumberFormat="1" applyFont="1" applyBorder="1"/>
    <xf numFmtId="0" fontId="11" fillId="0" borderId="5" xfId="4" applyFont="1" applyBorder="1" applyAlignment="1">
      <alignment horizontal="left" wrapText="1" indent="1"/>
    </xf>
    <xf numFmtId="0" fontId="10" fillId="0" borderId="0" xfId="0" applyFont="1"/>
    <xf numFmtId="0" fontId="9" fillId="0" borderId="1" xfId="2" applyFont="1" applyBorder="1" applyAlignment="1">
      <alignment vertical="center"/>
    </xf>
    <xf numFmtId="0" fontId="9" fillId="0" borderId="1" xfId="2" applyFont="1" applyFill="1" applyBorder="1" applyAlignment="1">
      <alignment vertical="center"/>
    </xf>
    <xf numFmtId="0" fontId="9" fillId="0" borderId="1" xfId="0" applyFont="1" applyFill="1" applyBorder="1"/>
    <xf numFmtId="0" fontId="35" fillId="0" borderId="1" xfId="0" applyFont="1" applyFill="1" applyBorder="1" applyAlignment="1">
      <alignment horizontal="left"/>
    </xf>
    <xf numFmtId="0" fontId="27" fillId="0" borderId="1" xfId="1" applyFont="1" applyFill="1" applyBorder="1"/>
    <xf numFmtId="0" fontId="9" fillId="0" borderId="1" xfId="2" applyFont="1" applyFill="1" applyBorder="1"/>
    <xf numFmtId="0" fontId="36" fillId="0" borderId="1" xfId="0" applyNumberFormat="1" applyFont="1" applyFill="1" applyBorder="1" applyAlignment="1">
      <alignment horizontal="left"/>
    </xf>
    <xf numFmtId="49" fontId="9" fillId="6" borderId="1" xfId="2" applyNumberFormat="1" applyFont="1" applyFill="1" applyBorder="1" applyAlignment="1">
      <alignment wrapText="1"/>
    </xf>
    <xf numFmtId="0" fontId="9" fillId="0" borderId="1" xfId="2" applyFont="1" applyBorder="1"/>
    <xf numFmtId="0" fontId="9" fillId="0" borderId="1" xfId="2" applyFont="1" applyBorder="1" applyAlignment="1">
      <alignment wrapText="1"/>
    </xf>
    <xf numFmtId="49" fontId="9" fillId="0" borderId="1" xfId="2" applyNumberFormat="1" applyFont="1" applyBorder="1"/>
    <xf numFmtId="49" fontId="9" fillId="2" borderId="1" xfId="2" applyNumberFormat="1" applyFont="1" applyFill="1" applyBorder="1" applyAlignment="1">
      <alignment wrapText="1"/>
    </xf>
    <xf numFmtId="49" fontId="9" fillId="2" borderId="1" xfId="2" applyNumberFormat="1" applyFont="1" applyFill="1" applyBorder="1"/>
    <xf numFmtId="0" fontId="9" fillId="0" borderId="0" xfId="2" applyFont="1" applyBorder="1" applyAlignment="1">
      <alignment wrapText="1"/>
    </xf>
    <xf numFmtId="0" fontId="9" fillId="0" borderId="0" xfId="0" applyFont="1"/>
    <xf numFmtId="0" fontId="9" fillId="0" borderId="1" xfId="2" applyFont="1" applyBorder="1" applyAlignment="1"/>
    <xf numFmtId="0" fontId="18" fillId="0" borderId="1" xfId="2" applyFont="1" applyBorder="1" applyAlignment="1">
      <alignment wrapText="1"/>
    </xf>
    <xf numFmtId="0" fontId="23" fillId="0" borderId="1" xfId="2" applyFont="1" applyBorder="1" applyAlignment="1"/>
    <xf numFmtId="0" fontId="9" fillId="0" borderId="1" xfId="2" applyFont="1" applyBorder="1" applyAlignment="1">
      <alignment horizontal="justify" vertical="center"/>
    </xf>
    <xf numFmtId="0" fontId="9" fillId="0" borderId="1" xfId="2" applyFont="1" applyBorder="1" applyAlignment="1">
      <alignment horizontal="justify" vertical="center" wrapText="1"/>
    </xf>
    <xf numFmtId="49" fontId="9" fillId="0" borderId="1" xfId="0" applyNumberFormat="1" applyFont="1" applyBorder="1" applyAlignment="1"/>
    <xf numFmtId="0" fontId="9" fillId="0" borderId="1" xfId="0" applyFont="1" applyBorder="1" applyAlignment="1"/>
    <xf numFmtId="49" fontId="9" fillId="0" borderId="1" xfId="4" applyNumberFormat="1" applyFont="1" applyFill="1" applyBorder="1"/>
    <xf numFmtId="0" fontId="9" fillId="0" borderId="5" xfId="4" applyFont="1" applyBorder="1" applyAlignment="1">
      <alignment horizontal="left" wrapText="1" indent="1"/>
    </xf>
    <xf numFmtId="0" fontId="8" fillId="0" borderId="1" xfId="0" applyFont="1" applyBorder="1" applyAlignment="1"/>
    <xf numFmtId="49" fontId="8" fillId="0" borderId="1" xfId="0" applyNumberFormat="1" applyFont="1" applyBorder="1" applyAlignment="1"/>
    <xf numFmtId="0" fontId="8" fillId="0" borderId="1" xfId="4" applyFont="1" applyFill="1" applyBorder="1"/>
    <xf numFmtId="0" fontId="7" fillId="0" borderId="1" xfId="2" applyFont="1" applyBorder="1"/>
    <xf numFmtId="0" fontId="18" fillId="6" borderId="1" xfId="2" applyFont="1" applyFill="1" applyBorder="1" applyAlignment="1">
      <alignment horizontal="justify" vertical="center"/>
    </xf>
    <xf numFmtId="0" fontId="20" fillId="6" borderId="1" xfId="2" applyFont="1" applyFill="1" applyBorder="1" applyAlignment="1">
      <alignment horizontal="justify" vertical="center"/>
    </xf>
    <xf numFmtId="0" fontId="33" fillId="6" borderId="6" xfId="4" applyFont="1" applyFill="1" applyBorder="1" applyAlignment="1">
      <alignment horizontal="right" vertical="center"/>
    </xf>
    <xf numFmtId="0" fontId="6" fillId="6" borderId="7" xfId="4" applyFont="1" applyFill="1" applyBorder="1" applyAlignment="1">
      <alignment horizontal="left" wrapText="1" indent="1"/>
    </xf>
    <xf numFmtId="0" fontId="5" fillId="0" borderId="1" xfId="2" applyFont="1" applyBorder="1" applyAlignment="1">
      <alignment vertical="center"/>
    </xf>
    <xf numFmtId="49" fontId="5" fillId="0" borderId="1" xfId="0" applyNumberFormat="1" applyFont="1" applyBorder="1" applyAlignment="1"/>
    <xf numFmtId="0" fontId="33" fillId="8" borderId="1" xfId="2" applyFont="1" applyFill="1" applyBorder="1"/>
    <xf numFmtId="49" fontId="33" fillId="8" borderId="1" xfId="2" applyNumberFormat="1" applyFont="1" applyFill="1" applyBorder="1"/>
    <xf numFmtId="0" fontId="4" fillId="8" borderId="0" xfId="2" applyFont="1" applyFill="1"/>
    <xf numFmtId="0" fontId="4" fillId="8" borderId="1" xfId="2" applyFont="1" applyFill="1" applyBorder="1"/>
    <xf numFmtId="49" fontId="4" fillId="8" borderId="1" xfId="2" applyNumberFormat="1" applyFont="1" applyFill="1" applyBorder="1"/>
    <xf numFmtId="49" fontId="4" fillId="8" borderId="1" xfId="4" applyNumberFormat="1" applyFont="1" applyFill="1" applyBorder="1"/>
    <xf numFmtId="49" fontId="4" fillId="8" borderId="0" xfId="2" applyNumberFormat="1" applyFont="1" applyFill="1"/>
    <xf numFmtId="0" fontId="33" fillId="0" borderId="7" xfId="0" applyFont="1" applyFill="1" applyBorder="1" applyAlignment="1">
      <alignment horizontal="left" indent="1"/>
    </xf>
    <xf numFmtId="0" fontId="3" fillId="0" borderId="5" xfId="0" applyFont="1" applyBorder="1" applyAlignment="1">
      <alignment horizontal="left" indent="1"/>
    </xf>
    <xf numFmtId="49" fontId="2" fillId="0" borderId="7" xfId="4" applyNumberFormat="1" applyFont="1" applyBorder="1" applyAlignment="1">
      <alignment vertical="top" wrapText="1"/>
    </xf>
    <xf numFmtId="0" fontId="1" fillId="8" borderId="1" xfId="2" applyFont="1" applyFill="1" applyBorder="1"/>
    <xf numFmtId="49" fontId="1" fillId="0" borderId="1" xfId="0" applyNumberFormat="1" applyFont="1" applyBorder="1" applyAlignment="1"/>
  </cellXfs>
  <cellStyles count="6">
    <cellStyle name="Lien hypertexte" xfId="1" builtinId="8"/>
    <cellStyle name="Lien hypertexte 2" xfId="3"/>
    <cellStyle name="Lien hypertexte 3" xfId="5"/>
    <cellStyle name="Normal" xfId="0" builtinId="0"/>
    <cellStyle name="Normal 2" xfId="2"/>
    <cellStyle name="Normal 3" xfId="4"/>
  </cellStyles>
  <dxfs count="19">
    <dxf>
      <font>
        <color rgb="FF9C0006"/>
      </font>
      <fill>
        <patternFill>
          <bgColor rgb="FFFFC7CE"/>
        </patternFill>
      </fill>
    </dxf>
    <dxf>
      <font>
        <color theme="7" tint="0.59996337778862885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1885950</xdr:colOff>
          <xdr:row>0</xdr:row>
          <xdr:rowOff>85725</xdr:rowOff>
        </xdr:from>
        <xdr:to>
          <xdr:col>0</xdr:col>
          <xdr:colOff>3295650</xdr:colOff>
          <xdr:row>0</xdr:row>
          <xdr:rowOff>523875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New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docs.ogc.org/is/18-088/18-088.html" TargetMode="External"/><Relationship Id="rId2" Type="http://schemas.openxmlformats.org/officeDocument/2006/relationships/hyperlink" Target="https://docs.ogc.org/is/18-088/18-088.html" TargetMode="External"/><Relationship Id="rId1" Type="http://schemas.openxmlformats.org/officeDocument/2006/relationships/hyperlink" Target="https://docs.ogc.org/is/18-088/18-088.html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ocs.ogc.org/is/18-088/18-088.html" TargetMode="External"/><Relationship Id="rId4" Type="http://schemas.openxmlformats.org/officeDocument/2006/relationships/hyperlink" Target="https://docs.ogc.org/is/18-088/18-088.ht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opendata.inrae.fr/thesaurusINRAE/c_15721" TargetMode="External"/><Relationship Id="rId18" Type="http://schemas.openxmlformats.org/officeDocument/2006/relationships/hyperlink" Target="http://unitsofmeasure.org/ucum.html" TargetMode="External"/><Relationship Id="rId26" Type="http://schemas.openxmlformats.org/officeDocument/2006/relationships/hyperlink" Target="http://unitsofmeasure.org/ucum.html" TargetMode="External"/><Relationship Id="rId39" Type="http://schemas.openxmlformats.org/officeDocument/2006/relationships/hyperlink" Target="http://unitsofmeasure.org/ucum.html" TargetMode="External"/><Relationship Id="rId21" Type="http://schemas.openxmlformats.org/officeDocument/2006/relationships/hyperlink" Target="http://unitsofmeasure.org/ucum.html" TargetMode="External"/><Relationship Id="rId34" Type="http://schemas.openxmlformats.org/officeDocument/2006/relationships/hyperlink" Target="http://opendata.inrae.fr/thesaurusINRAE/c_15747" TargetMode="External"/><Relationship Id="rId42" Type="http://schemas.openxmlformats.org/officeDocument/2006/relationships/hyperlink" Target="http://unitsofmeasure.org/ucum.html" TargetMode="External"/><Relationship Id="rId47" Type="http://schemas.openxmlformats.org/officeDocument/2006/relationships/hyperlink" Target="https://unitsofmeasure.org/ucum" TargetMode="External"/><Relationship Id="rId7" Type="http://schemas.openxmlformats.org/officeDocument/2006/relationships/hyperlink" Target="http://unitsofmeasure.org/ucum.html" TargetMode="External"/><Relationship Id="rId2" Type="http://schemas.openxmlformats.org/officeDocument/2006/relationships/hyperlink" Target="http://opendata.inrae.fr/thesaurusINRAE/c_15677" TargetMode="External"/><Relationship Id="rId16" Type="http://schemas.openxmlformats.org/officeDocument/2006/relationships/hyperlink" Target="https://www.bipm.org/en/si-base-units/metre" TargetMode="External"/><Relationship Id="rId29" Type="http://schemas.openxmlformats.org/officeDocument/2006/relationships/hyperlink" Target="http://unitsofmeasure.org/ucum.html" TargetMode="External"/><Relationship Id="rId1" Type="http://schemas.openxmlformats.org/officeDocument/2006/relationships/hyperlink" Target="http://opendata.inrae.fr/thesaurusINRAE/c_14004" TargetMode="External"/><Relationship Id="rId6" Type="http://schemas.openxmlformats.org/officeDocument/2006/relationships/hyperlink" Target="http://unitsofmeasure.org/ucum.html" TargetMode="External"/><Relationship Id="rId11" Type="http://schemas.openxmlformats.org/officeDocument/2006/relationships/hyperlink" Target="http://opendata.inrae.fr/thesaurusINRAE/c_15709" TargetMode="External"/><Relationship Id="rId24" Type="http://schemas.openxmlformats.org/officeDocument/2006/relationships/hyperlink" Target="https://mdm.sandre.eaufrance.fr/id/parametre/1350/html" TargetMode="External"/><Relationship Id="rId32" Type="http://schemas.openxmlformats.org/officeDocument/2006/relationships/hyperlink" Target="http://opendata.inrae.fr/thesaurusINRAE/c_536" TargetMode="External"/><Relationship Id="rId37" Type="http://schemas.openxmlformats.org/officeDocument/2006/relationships/hyperlink" Target="http://opendata.inrae.fr/thesaurusINRAE/c_241%20," TargetMode="External"/><Relationship Id="rId40" Type="http://schemas.openxmlformats.org/officeDocument/2006/relationships/hyperlink" Target="http://unitsofmeasure.org/ucum.html" TargetMode="External"/><Relationship Id="rId45" Type="http://schemas.openxmlformats.org/officeDocument/2006/relationships/hyperlink" Target="http://unitsofmeasure.org/ucum.html" TargetMode="External"/><Relationship Id="rId5" Type="http://schemas.openxmlformats.org/officeDocument/2006/relationships/hyperlink" Target="http://unitsofmeasure.org/ucum.html" TargetMode="External"/><Relationship Id="rId15" Type="http://schemas.openxmlformats.org/officeDocument/2006/relationships/hyperlink" Target="http://opendata.inrae.fr/thesaurusINRAE/c_16420" TargetMode="External"/><Relationship Id="rId23" Type="http://schemas.openxmlformats.org/officeDocument/2006/relationships/hyperlink" Target="https://en.wikipedia.org/wiki/Turbidity" TargetMode="External"/><Relationship Id="rId28" Type="http://schemas.openxmlformats.org/officeDocument/2006/relationships/hyperlink" Target="http://opendata.inrae.fr/thesaurusINRAE/c_15734" TargetMode="External"/><Relationship Id="rId36" Type="http://schemas.openxmlformats.org/officeDocument/2006/relationships/hyperlink" Target="https://w3id.org/ozcar-theia/c_9530bac1" TargetMode="External"/><Relationship Id="rId10" Type="http://schemas.openxmlformats.org/officeDocument/2006/relationships/hyperlink" Target="http://opendata.inrae.fr/thesaurusINRAE/c_15775" TargetMode="External"/><Relationship Id="rId19" Type="http://schemas.openxmlformats.org/officeDocument/2006/relationships/hyperlink" Target="https://www.bipm.org/en/si-base-units/metre" TargetMode="External"/><Relationship Id="rId31" Type="http://schemas.openxmlformats.org/officeDocument/2006/relationships/hyperlink" Target="http://opendata.inrae.fr/thesaurusINRAE/c_15787" TargetMode="External"/><Relationship Id="rId44" Type="http://schemas.openxmlformats.org/officeDocument/2006/relationships/hyperlink" Target="http://unitsofmeasure.org/ucum.html" TargetMode="External"/><Relationship Id="rId4" Type="http://schemas.openxmlformats.org/officeDocument/2006/relationships/hyperlink" Target="https://www.eionet.europa.eu/gemet/en/concept/11788" TargetMode="External"/><Relationship Id="rId9" Type="http://schemas.openxmlformats.org/officeDocument/2006/relationships/hyperlink" Target="http://opendata.inrae.fr/thesaurusINRAE/c_15698" TargetMode="External"/><Relationship Id="rId14" Type="http://schemas.openxmlformats.org/officeDocument/2006/relationships/hyperlink" Target="http://unitsofmeasure.org/ucum.html" TargetMode="External"/><Relationship Id="rId22" Type="http://schemas.openxmlformats.org/officeDocument/2006/relationships/hyperlink" Target="http://opendata.inrae.fr/thesaurusINRAE/c_15737" TargetMode="External"/><Relationship Id="rId27" Type="http://schemas.openxmlformats.org/officeDocument/2006/relationships/hyperlink" Target="https://mdm.sandre.eaufrance.fr/id/parametre/1433/html" TargetMode="External"/><Relationship Id="rId30" Type="http://schemas.openxmlformats.org/officeDocument/2006/relationships/hyperlink" Target="http://unitsofmeasure.org/ucum.html" TargetMode="External"/><Relationship Id="rId35" Type="http://schemas.openxmlformats.org/officeDocument/2006/relationships/hyperlink" Target="http://opendata.inrae.fr/thesaurusINRAE/c_11431" TargetMode="External"/><Relationship Id="rId43" Type="http://schemas.openxmlformats.org/officeDocument/2006/relationships/hyperlink" Target="http://unitsofmeasure.org/ucum.html" TargetMode="External"/><Relationship Id="rId48" Type="http://schemas.openxmlformats.org/officeDocument/2006/relationships/printerSettings" Target="../printerSettings/printerSettings2.bin"/><Relationship Id="rId8" Type="http://schemas.openxmlformats.org/officeDocument/2006/relationships/hyperlink" Target="http://unitsofmeasure.org/ucum.html" TargetMode="External"/><Relationship Id="rId3" Type="http://schemas.openxmlformats.org/officeDocument/2006/relationships/hyperlink" Target="https://fr.wikipedia.org/wiki/Conductivit%C3%A9_%C3%A9lectrique" TargetMode="External"/><Relationship Id="rId12" Type="http://schemas.openxmlformats.org/officeDocument/2006/relationships/hyperlink" Target="http://opendata.inrae.fr/thesaurusINRAE/c_15797" TargetMode="External"/><Relationship Id="rId17" Type="http://schemas.openxmlformats.org/officeDocument/2006/relationships/hyperlink" Target="http://opendata.inrae.fr/thesaurusINRAE/c_17516" TargetMode="External"/><Relationship Id="rId25" Type="http://schemas.openxmlformats.org/officeDocument/2006/relationships/hyperlink" Target="http://unitsofmeasure.org/ucum.html" TargetMode="External"/><Relationship Id="rId33" Type="http://schemas.openxmlformats.org/officeDocument/2006/relationships/hyperlink" Target="http://unitsofmeasure.org/ucum.html" TargetMode="External"/><Relationship Id="rId38" Type="http://schemas.openxmlformats.org/officeDocument/2006/relationships/hyperlink" Target="http://unitsofmeasure.org/ucum.html" TargetMode="External"/><Relationship Id="rId46" Type="http://schemas.openxmlformats.org/officeDocument/2006/relationships/hyperlink" Target="http://opendata.inrae.fr/thesaurusINRAE/c_17430" TargetMode="External"/><Relationship Id="rId20" Type="http://schemas.openxmlformats.org/officeDocument/2006/relationships/hyperlink" Target="http://opendata.inrae.fr/thesaurusINRAE/c_15724%20;%20Dissolved%20organic%20carbon%20mass%20concentration%20in%20river%20water" TargetMode="External"/><Relationship Id="rId41" Type="http://schemas.openxmlformats.org/officeDocument/2006/relationships/hyperlink" Target="http://unitsofmeasure.org/ucum.html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hal.inrae.fr/hal-03280952" TargetMode="External"/><Relationship Id="rId3" Type="http://schemas.openxmlformats.org/officeDocument/2006/relationships/hyperlink" Target="https://www.pme.com/wp-content/uploads/PME-miniDOT-Manual-2021.pdf" TargetMode="External"/><Relationship Id="rId7" Type="http://schemas.openxmlformats.org/officeDocument/2006/relationships/hyperlink" Target="https://fr.hach.com/analyseurs-de-phosphates/analyseur-de-phosphate-phosphax-sigma/family?productCategoryId=25033233204" TargetMode="External"/><Relationship Id="rId2" Type="http://schemas.openxmlformats.org/officeDocument/2006/relationships/hyperlink" Target="https://www.ott.com/download/leaflet-shaft-encoder-for-depth-and-water-level-measurement-ott-thalimedes-1/" TargetMode="External"/><Relationship Id="rId1" Type="http://schemas.openxmlformats.org/officeDocument/2006/relationships/hyperlink" Target="https://www.ott.com/products/water-level-1/ott-pls-c-38/" TargetMode="External"/><Relationship Id="rId6" Type="http://schemas.openxmlformats.org/officeDocument/2006/relationships/hyperlink" Target="https://vanessen.com/images/PDFs/Diver-ProductManual-en.pdf" TargetMode="External"/><Relationship Id="rId5" Type="http://schemas.openxmlformats.org/officeDocument/2006/relationships/hyperlink" Target="https://www.ott.com/fr-fr/produits/le-niveau-deau-72/ott-orpheus-mini-196/productAction/outputAsPdf/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https://www.ott.com/fr-fr/produits/le-niveau-deau-72/ott-ctd-194/productAction/outputAsPdf/" TargetMode="External"/><Relationship Id="rId9" Type="http://schemas.openxmlformats.org/officeDocument/2006/relationships/hyperlink" Target="https://hal.science/hal-01219005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www.opengis.net/def/observationType/OGC-OM/2.0/OM_CountObservation" TargetMode="External"/><Relationship Id="rId2" Type="http://schemas.openxmlformats.org/officeDocument/2006/relationships/hyperlink" Target="http://www.opengis.net/def/observationType/OGC-OM/2.0/OM_CategoryObservation" TargetMode="External"/><Relationship Id="rId1" Type="http://schemas.openxmlformats.org/officeDocument/2006/relationships/hyperlink" Target="http://www.opengis.net/def/observationType/OGC-OM/2.0/OM_Measurement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http://www.opengis.net/def/observationType/OGC-OM/2.0/OM_TruthObservation" TargetMode="External"/><Relationship Id="rId4" Type="http://schemas.openxmlformats.org/officeDocument/2006/relationships/hyperlink" Target="http://www.opengis.net/def/observationType/OGC-OM/2.0/OM_Observati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4"/>
  </sheetPr>
  <dimension ref="A1:B62"/>
  <sheetViews>
    <sheetView topLeftCell="A37" workbookViewId="0">
      <selection activeCell="B2" sqref="B2"/>
    </sheetView>
  </sheetViews>
  <sheetFormatPr baseColWidth="10" defaultColWidth="11.42578125" defaultRowHeight="15"/>
  <cols>
    <col min="1" max="1" width="79" style="26" customWidth="1"/>
    <col min="2" max="2" width="137.28515625" style="36" customWidth="1"/>
    <col min="3" max="16384" width="11.42578125" style="19"/>
  </cols>
  <sheetData>
    <row r="1" spans="1:2">
      <c r="A1" s="48" t="s">
        <v>79</v>
      </c>
      <c r="B1" s="49" t="s">
        <v>80</v>
      </c>
    </row>
    <row r="2" spans="1:2" ht="179.45" customHeight="1" thickBot="1">
      <c r="A2" s="50" t="s">
        <v>136</v>
      </c>
      <c r="B2" s="140" t="s">
        <v>488</v>
      </c>
    </row>
    <row r="4" spans="1:2">
      <c r="A4" s="22" t="s">
        <v>81</v>
      </c>
    </row>
    <row r="5" spans="1:2" ht="15.75" thickBot="1">
      <c r="A5" s="51"/>
    </row>
    <row r="6" spans="1:2">
      <c r="A6" s="23" t="s">
        <v>137</v>
      </c>
      <c r="B6" s="38" t="s">
        <v>84</v>
      </c>
    </row>
    <row r="7" spans="1:2">
      <c r="A7" s="56" t="s">
        <v>82</v>
      </c>
      <c r="B7" s="90" t="s">
        <v>207</v>
      </c>
    </row>
    <row r="8" spans="1:2">
      <c r="A8" s="56" t="s">
        <v>85</v>
      </c>
      <c r="B8" s="24" t="s">
        <v>86</v>
      </c>
    </row>
    <row r="9" spans="1:2">
      <c r="A9" s="56" t="s">
        <v>83</v>
      </c>
      <c r="B9" s="24" t="s">
        <v>87</v>
      </c>
    </row>
    <row r="10" spans="1:2">
      <c r="A10" s="56" t="s">
        <v>124</v>
      </c>
      <c r="B10" s="43" t="s">
        <v>126</v>
      </c>
    </row>
    <row r="11" spans="1:2">
      <c r="A11" s="56" t="s">
        <v>125</v>
      </c>
      <c r="B11" s="43" t="s">
        <v>127</v>
      </c>
    </row>
    <row r="12" spans="1:2" ht="15.75" thickBot="1">
      <c r="A12" s="57" t="s">
        <v>204</v>
      </c>
      <c r="B12" s="75" t="s">
        <v>166</v>
      </c>
    </row>
    <row r="13" spans="1:2" ht="15.75" thickBot="1">
      <c r="A13" s="51"/>
    </row>
    <row r="14" spans="1:2" ht="30">
      <c r="A14" s="28" t="s">
        <v>123</v>
      </c>
      <c r="B14" s="38" t="s">
        <v>88</v>
      </c>
    </row>
    <row r="15" spans="1:2">
      <c r="A15" s="58" t="s">
        <v>82</v>
      </c>
      <c r="B15" s="120" t="s">
        <v>422</v>
      </c>
    </row>
    <row r="16" spans="1:2">
      <c r="A16" s="73" t="s">
        <v>157</v>
      </c>
      <c r="B16" s="68" t="s">
        <v>158</v>
      </c>
    </row>
    <row r="17" spans="1:2">
      <c r="A17" s="58" t="s">
        <v>89</v>
      </c>
      <c r="B17" s="95" t="s">
        <v>226</v>
      </c>
    </row>
    <row r="18" spans="1:2">
      <c r="A18" s="27" t="s">
        <v>25</v>
      </c>
      <c r="B18" s="39" t="s">
        <v>90</v>
      </c>
    </row>
    <row r="19" spans="1:2">
      <c r="A19" s="27" t="s">
        <v>26</v>
      </c>
      <c r="B19" s="39" t="s">
        <v>91</v>
      </c>
    </row>
    <row r="20" spans="1:2">
      <c r="A20" s="42" t="s">
        <v>27</v>
      </c>
      <c r="B20" s="39" t="s">
        <v>92</v>
      </c>
    </row>
    <row r="21" spans="1:2" ht="15.75" thickBot="1">
      <c r="A21" s="57" t="s">
        <v>154</v>
      </c>
      <c r="B21" s="76" t="s">
        <v>167</v>
      </c>
    </row>
    <row r="22" spans="1:2" ht="15.75" thickBot="1">
      <c r="A22" s="51"/>
    </row>
    <row r="23" spans="1:2">
      <c r="A23" s="59" t="s">
        <v>145</v>
      </c>
      <c r="B23" s="37" t="s">
        <v>93</v>
      </c>
    </row>
    <row r="24" spans="1:2">
      <c r="A24" s="56" t="s">
        <v>82</v>
      </c>
      <c r="B24" s="120" t="s">
        <v>423</v>
      </c>
    </row>
    <row r="25" spans="1:2">
      <c r="A25" s="56" t="s">
        <v>83</v>
      </c>
      <c r="B25" s="43" t="s">
        <v>87</v>
      </c>
    </row>
    <row r="26" spans="1:2">
      <c r="A26" s="62" t="s">
        <v>444</v>
      </c>
      <c r="B26" s="61" t="s">
        <v>445</v>
      </c>
    </row>
    <row r="27" spans="1:2">
      <c r="A27" s="62" t="s">
        <v>155</v>
      </c>
      <c r="B27" s="61" t="s">
        <v>168</v>
      </c>
    </row>
    <row r="28" spans="1:2" ht="15.75" thickBot="1">
      <c r="A28" s="127" t="s">
        <v>442</v>
      </c>
      <c r="B28" s="128" t="s">
        <v>443</v>
      </c>
    </row>
    <row r="29" spans="1:2" ht="15.75" thickBot="1">
      <c r="A29" s="51"/>
    </row>
    <row r="30" spans="1:2">
      <c r="A30" s="44" t="s">
        <v>135</v>
      </c>
      <c r="B30" s="45" t="s">
        <v>128</v>
      </c>
    </row>
    <row r="31" spans="1:2">
      <c r="A31" s="64" t="s">
        <v>82</v>
      </c>
      <c r="B31" s="47" t="s">
        <v>134</v>
      </c>
    </row>
    <row r="32" spans="1:2">
      <c r="A32" s="65" t="s">
        <v>129</v>
      </c>
      <c r="B32" s="46" t="s">
        <v>130</v>
      </c>
    </row>
    <row r="33" spans="1:2">
      <c r="A33" s="65" t="s">
        <v>83</v>
      </c>
      <c r="B33" s="139" t="s">
        <v>477</v>
      </c>
    </row>
    <row r="34" spans="1:2" s="35" customFormat="1">
      <c r="A34" s="66" t="s">
        <v>131</v>
      </c>
      <c r="B34" s="63" t="s">
        <v>134</v>
      </c>
    </row>
    <row r="35" spans="1:2">
      <c r="A35" s="66" t="s">
        <v>132</v>
      </c>
      <c r="B35" s="63" t="s">
        <v>134</v>
      </c>
    </row>
    <row r="36" spans="1:2">
      <c r="A36" s="66" t="s">
        <v>133</v>
      </c>
      <c r="B36" s="63" t="s">
        <v>134</v>
      </c>
    </row>
    <row r="37" spans="1:2">
      <c r="A37" s="66" t="s">
        <v>237</v>
      </c>
      <c r="B37" s="63" t="s">
        <v>473</v>
      </c>
    </row>
    <row r="38" spans="1:2">
      <c r="A38" s="66" t="s">
        <v>424</v>
      </c>
      <c r="B38" s="63"/>
    </row>
    <row r="39" spans="1:2">
      <c r="A39" s="82" t="s">
        <v>108</v>
      </c>
      <c r="B39" s="84" t="s">
        <v>192</v>
      </c>
    </row>
    <row r="40" spans="1:2">
      <c r="A40" s="82" t="s">
        <v>109</v>
      </c>
      <c r="B40" s="84" t="s">
        <v>193</v>
      </c>
    </row>
    <row r="41" spans="1:2">
      <c r="A41" s="82" t="s">
        <v>110</v>
      </c>
      <c r="B41" s="84" t="s">
        <v>194</v>
      </c>
    </row>
    <row r="42" spans="1:2">
      <c r="A42" s="82" t="s">
        <v>111</v>
      </c>
      <c r="B42" s="84" t="s">
        <v>195</v>
      </c>
    </row>
    <row r="43" spans="1:2">
      <c r="A43" s="82" t="s">
        <v>96</v>
      </c>
      <c r="B43" s="84" t="s">
        <v>97</v>
      </c>
    </row>
    <row r="44" spans="1:2" ht="30">
      <c r="A44" s="82" t="s">
        <v>98</v>
      </c>
      <c r="B44" s="86" t="s">
        <v>99</v>
      </c>
    </row>
    <row r="45" spans="1:2">
      <c r="A45" s="82" t="s">
        <v>94</v>
      </c>
      <c r="B45" s="84" t="s">
        <v>95</v>
      </c>
    </row>
    <row r="46" spans="1:2">
      <c r="A46" s="82" t="s">
        <v>100</v>
      </c>
      <c r="B46" s="84" t="s">
        <v>101</v>
      </c>
    </row>
    <row r="47" spans="1:2" ht="15.75" thickBot="1">
      <c r="A47" s="83" t="s">
        <v>102</v>
      </c>
      <c r="B47" s="85" t="s">
        <v>103</v>
      </c>
    </row>
    <row r="48" spans="1:2" ht="15.75" thickBot="1"/>
    <row r="49" spans="1:2">
      <c r="A49" s="44" t="s">
        <v>159</v>
      </c>
      <c r="B49" s="67" t="s">
        <v>156</v>
      </c>
    </row>
    <row r="50" spans="1:2" s="33" customFormat="1">
      <c r="A50" s="69" t="s">
        <v>82</v>
      </c>
      <c r="B50" s="63" t="s">
        <v>473</v>
      </c>
    </row>
    <row r="51" spans="1:2" s="33" customFormat="1">
      <c r="A51" s="89" t="s">
        <v>83</v>
      </c>
      <c r="B51" s="63" t="s">
        <v>474</v>
      </c>
    </row>
    <row r="52" spans="1:2" s="33" customFormat="1">
      <c r="A52" s="89" t="s">
        <v>205</v>
      </c>
      <c r="B52" s="63" t="s">
        <v>475</v>
      </c>
    </row>
    <row r="53" spans="1:2" s="33" customFormat="1" ht="15.75" thickBot="1">
      <c r="A53" s="70" t="s">
        <v>206</v>
      </c>
      <c r="B53" s="138" t="s">
        <v>476</v>
      </c>
    </row>
    <row r="56" spans="1:2">
      <c r="A56" s="29" t="s">
        <v>160</v>
      </c>
    </row>
    <row r="57" spans="1:2" ht="15.75" thickBot="1"/>
    <row r="58" spans="1:2">
      <c r="A58" s="23" t="s">
        <v>104</v>
      </c>
      <c r="B58" s="40" t="s">
        <v>105</v>
      </c>
    </row>
    <row r="59" spans="1:2">
      <c r="A59" s="25" t="s">
        <v>106</v>
      </c>
      <c r="B59" s="24" t="s">
        <v>107</v>
      </c>
    </row>
    <row r="60" spans="1:2">
      <c r="A60" s="30"/>
      <c r="B60" s="24"/>
    </row>
    <row r="61" spans="1:2">
      <c r="A61" s="72"/>
      <c r="B61" s="71"/>
    </row>
    <row r="62" spans="1:2" ht="15.75" thickBot="1">
      <c r="A62" s="31"/>
      <c r="B62" s="41"/>
    </row>
  </sheetData>
  <hyperlinks>
    <hyperlink ref="B14" r:id="rId1" location="sensor"/>
    <hyperlink ref="B23" r:id="rId2" location="thing"/>
    <hyperlink ref="B6" r:id="rId3" location="observedproperty"/>
    <hyperlink ref="B30" r:id="rId4" location="datastream"/>
    <hyperlink ref="B49" r:id="rId5" location="featureofinterest"/>
  </hyperlinks>
  <pageMargins left="0.7" right="0.7" top="0.75" bottom="0.75" header="0.3" footer="0.3"/>
  <pageSetup paperSize="9" orientation="portrait"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C00000"/>
  </sheetPr>
  <dimension ref="A1:G28"/>
  <sheetViews>
    <sheetView zoomScale="90" zoomScaleNormal="90" workbookViewId="0">
      <pane ySplit="1" topLeftCell="A2" activePane="bottomLeft" state="frozen"/>
      <selection pane="bottomLeft" activeCell="B33" sqref="B33"/>
    </sheetView>
  </sheetViews>
  <sheetFormatPr baseColWidth="10" defaultColWidth="11.5703125" defaultRowHeight="15"/>
  <cols>
    <col min="1" max="1" width="21.140625" style="2" customWidth="1"/>
    <col min="2" max="2" width="56" style="2" customWidth="1"/>
    <col min="3" max="3" width="48.7109375" style="2" customWidth="1"/>
    <col min="4" max="4" width="25.85546875" style="2" customWidth="1"/>
    <col min="5" max="5" width="18.7109375" style="2" customWidth="1"/>
    <col min="6" max="6" width="45.28515625" style="2" customWidth="1"/>
    <col min="7" max="7" width="15.42578125" style="2" customWidth="1"/>
    <col min="8" max="9" width="16.7109375" style="2" customWidth="1"/>
    <col min="10" max="10" width="19.42578125" style="2" customWidth="1"/>
    <col min="11" max="16384" width="11.5703125" style="2"/>
  </cols>
  <sheetData>
    <row r="1" spans="1:7">
      <c r="A1" s="54" t="s">
        <v>22</v>
      </c>
      <c r="B1" s="54" t="s">
        <v>41</v>
      </c>
      <c r="C1" s="54" t="s">
        <v>23</v>
      </c>
      <c r="D1" s="55" t="s">
        <v>0</v>
      </c>
      <c r="E1" s="55" t="s">
        <v>1</v>
      </c>
      <c r="F1" s="55" t="s">
        <v>2</v>
      </c>
      <c r="G1" s="55" t="s">
        <v>203</v>
      </c>
    </row>
    <row r="2" spans="1:7">
      <c r="A2" s="15" t="s">
        <v>208</v>
      </c>
      <c r="B2" s="14" t="s">
        <v>42</v>
      </c>
      <c r="C2" s="77" t="s">
        <v>43</v>
      </c>
      <c r="D2" s="77" t="s">
        <v>3</v>
      </c>
      <c r="E2" s="77" t="s">
        <v>4</v>
      </c>
      <c r="F2" s="78" t="s">
        <v>59</v>
      </c>
      <c r="G2" s="77" t="s">
        <v>6</v>
      </c>
    </row>
    <row r="3" spans="1:7">
      <c r="A3" s="97" t="s">
        <v>209</v>
      </c>
      <c r="B3" s="14" t="s">
        <v>189</v>
      </c>
      <c r="C3" s="77" t="s">
        <v>190</v>
      </c>
      <c r="D3" s="77" t="s">
        <v>3</v>
      </c>
      <c r="E3" s="77" t="s">
        <v>4</v>
      </c>
      <c r="F3" s="78" t="s">
        <v>59</v>
      </c>
      <c r="G3" s="77" t="s">
        <v>6</v>
      </c>
    </row>
    <row r="4" spans="1:7">
      <c r="A4" s="15" t="s">
        <v>210</v>
      </c>
      <c r="B4" s="14" t="s">
        <v>187</v>
      </c>
      <c r="C4" s="77" t="s">
        <v>188</v>
      </c>
      <c r="D4" s="77" t="s">
        <v>61</v>
      </c>
      <c r="E4" s="77" t="s">
        <v>7</v>
      </c>
      <c r="F4" s="78" t="s">
        <v>5</v>
      </c>
      <c r="G4" s="77" t="s">
        <v>8</v>
      </c>
    </row>
    <row r="5" spans="1:7">
      <c r="A5" s="79" t="s">
        <v>211</v>
      </c>
      <c r="B5" s="80" t="s">
        <v>11</v>
      </c>
      <c r="C5" s="16" t="s">
        <v>44</v>
      </c>
      <c r="D5" s="52" t="s">
        <v>9</v>
      </c>
      <c r="E5" s="52" t="s">
        <v>10</v>
      </c>
      <c r="F5" s="53" t="s">
        <v>60</v>
      </c>
      <c r="G5" s="52" t="s">
        <v>8</v>
      </c>
    </row>
    <row r="6" spans="1:7">
      <c r="A6" s="98" t="s">
        <v>212</v>
      </c>
      <c r="B6" s="81" t="s">
        <v>45</v>
      </c>
      <c r="C6" s="16" t="s">
        <v>46</v>
      </c>
      <c r="D6" s="52" t="s">
        <v>12</v>
      </c>
      <c r="E6" s="52" t="s">
        <v>13</v>
      </c>
      <c r="F6" s="53" t="s">
        <v>47</v>
      </c>
      <c r="G6" s="52" t="s">
        <v>14</v>
      </c>
    </row>
    <row r="7" spans="1:7">
      <c r="A7" s="98" t="s">
        <v>247</v>
      </c>
      <c r="B7" s="14" t="s">
        <v>248</v>
      </c>
      <c r="C7" s="16" t="s">
        <v>249</v>
      </c>
      <c r="D7" s="99" t="s">
        <v>250</v>
      </c>
      <c r="E7" s="99" t="s">
        <v>251</v>
      </c>
      <c r="F7" s="53" t="s">
        <v>252</v>
      </c>
      <c r="G7" s="99" t="s">
        <v>14</v>
      </c>
    </row>
    <row r="8" spans="1:7">
      <c r="A8" s="98" t="s">
        <v>253</v>
      </c>
      <c r="B8" s="81" t="s">
        <v>254</v>
      </c>
      <c r="C8" s="16" t="s">
        <v>255</v>
      </c>
      <c r="D8" s="99" t="s">
        <v>256</v>
      </c>
      <c r="E8" s="99" t="s">
        <v>257</v>
      </c>
      <c r="F8" s="53" t="s">
        <v>258</v>
      </c>
      <c r="G8" s="99" t="s">
        <v>14</v>
      </c>
    </row>
    <row r="9" spans="1:7">
      <c r="A9" s="100" t="s">
        <v>162</v>
      </c>
      <c r="B9" s="53" t="s">
        <v>15</v>
      </c>
      <c r="C9" s="52" t="s">
        <v>49</v>
      </c>
      <c r="D9" s="52" t="s">
        <v>12</v>
      </c>
      <c r="E9" s="52" t="s">
        <v>13</v>
      </c>
      <c r="F9" s="101" t="s">
        <v>5</v>
      </c>
      <c r="G9" s="52" t="s">
        <v>14</v>
      </c>
    </row>
    <row r="10" spans="1:7">
      <c r="A10" s="100" t="s">
        <v>259</v>
      </c>
      <c r="B10" s="53" t="s">
        <v>260</v>
      </c>
      <c r="C10" s="99" t="s">
        <v>261</v>
      </c>
      <c r="D10" s="52" t="s">
        <v>12</v>
      </c>
      <c r="E10" s="52" t="s">
        <v>13</v>
      </c>
      <c r="F10" s="101" t="s">
        <v>5</v>
      </c>
      <c r="G10" s="52" t="s">
        <v>14</v>
      </c>
    </row>
    <row r="11" spans="1:7">
      <c r="A11" s="100" t="s">
        <v>161</v>
      </c>
      <c r="B11" s="53" t="s">
        <v>16</v>
      </c>
      <c r="C11" s="52" t="s">
        <v>50</v>
      </c>
      <c r="D11" s="52" t="s">
        <v>12</v>
      </c>
      <c r="E11" s="52" t="s">
        <v>13</v>
      </c>
      <c r="F11" s="101" t="s">
        <v>5</v>
      </c>
      <c r="G11" s="52" t="s">
        <v>14</v>
      </c>
    </row>
    <row r="12" spans="1:7">
      <c r="A12" s="100" t="s">
        <v>163</v>
      </c>
      <c r="B12" s="53" t="s">
        <v>17</v>
      </c>
      <c r="C12" s="52" t="s">
        <v>51</v>
      </c>
      <c r="D12" s="52" t="s">
        <v>12</v>
      </c>
      <c r="E12" s="52" t="s">
        <v>13</v>
      </c>
      <c r="F12" s="101" t="s">
        <v>5</v>
      </c>
      <c r="G12" s="52" t="s">
        <v>14</v>
      </c>
    </row>
    <row r="13" spans="1:7">
      <c r="A13" s="100" t="s">
        <v>164</v>
      </c>
      <c r="B13" s="53" t="s">
        <v>18</v>
      </c>
      <c r="C13" s="52" t="s">
        <v>52</v>
      </c>
      <c r="D13" s="52" t="s">
        <v>12</v>
      </c>
      <c r="E13" s="52" t="s">
        <v>13</v>
      </c>
      <c r="F13" s="101" t="s">
        <v>5</v>
      </c>
      <c r="G13" s="52" t="s">
        <v>14</v>
      </c>
    </row>
    <row r="14" spans="1:7">
      <c r="A14" s="100" t="s">
        <v>165</v>
      </c>
      <c r="B14" s="53" t="s">
        <v>19</v>
      </c>
      <c r="C14" s="52" t="s">
        <v>53</v>
      </c>
      <c r="D14" s="52" t="s">
        <v>12</v>
      </c>
      <c r="E14" s="52" t="s">
        <v>13</v>
      </c>
      <c r="F14" s="101" t="s">
        <v>48</v>
      </c>
      <c r="G14" s="52" t="s">
        <v>14</v>
      </c>
    </row>
    <row r="15" spans="1:7">
      <c r="A15" s="100" t="s">
        <v>262</v>
      </c>
      <c r="B15" s="53" t="s">
        <v>263</v>
      </c>
      <c r="C15" s="102" t="s">
        <v>264</v>
      </c>
      <c r="D15" s="52" t="s">
        <v>12</v>
      </c>
      <c r="E15" s="52" t="s">
        <v>13</v>
      </c>
      <c r="F15" s="101" t="s">
        <v>48</v>
      </c>
      <c r="G15" s="52" t="s">
        <v>14</v>
      </c>
    </row>
    <row r="16" spans="1:7">
      <c r="A16" s="102" t="s">
        <v>265</v>
      </c>
      <c r="B16" s="53" t="s">
        <v>266</v>
      </c>
      <c r="C16" s="102" t="s">
        <v>267</v>
      </c>
      <c r="D16" s="102" t="s">
        <v>268</v>
      </c>
      <c r="E16" s="102" t="s">
        <v>269</v>
      </c>
      <c r="F16" s="53" t="s">
        <v>270</v>
      </c>
      <c r="G16" s="52" t="s">
        <v>8</v>
      </c>
    </row>
    <row r="17" spans="1:7">
      <c r="A17" s="102" t="s">
        <v>271</v>
      </c>
      <c r="B17" s="53" t="s">
        <v>272</v>
      </c>
      <c r="C17" s="102" t="s">
        <v>273</v>
      </c>
      <c r="D17" s="52" t="s">
        <v>12</v>
      </c>
      <c r="E17" s="52" t="s">
        <v>13</v>
      </c>
      <c r="F17" s="101" t="s">
        <v>48</v>
      </c>
      <c r="G17" s="52" t="s">
        <v>14</v>
      </c>
    </row>
    <row r="18" spans="1:7">
      <c r="A18" s="102" t="s">
        <v>274</v>
      </c>
      <c r="B18" s="53" t="s">
        <v>275</v>
      </c>
      <c r="C18" s="102" t="s">
        <v>276</v>
      </c>
      <c r="D18" s="52" t="s">
        <v>12</v>
      </c>
      <c r="E18" s="52" t="s">
        <v>13</v>
      </c>
      <c r="F18" s="101" t="s">
        <v>48</v>
      </c>
      <c r="G18" s="52" t="s">
        <v>14</v>
      </c>
    </row>
    <row r="19" spans="1:7">
      <c r="A19" s="100" t="s">
        <v>277</v>
      </c>
      <c r="B19" s="53" t="s">
        <v>278</v>
      </c>
      <c r="C19" s="52" t="s">
        <v>279</v>
      </c>
      <c r="D19" s="52" t="s">
        <v>12</v>
      </c>
      <c r="E19" s="52" t="s">
        <v>13</v>
      </c>
      <c r="F19" s="101" t="s">
        <v>48</v>
      </c>
      <c r="G19" s="52" t="s">
        <v>14</v>
      </c>
    </row>
    <row r="20" spans="1:7">
      <c r="A20" s="100" t="s">
        <v>280</v>
      </c>
      <c r="B20" s="14" t="s">
        <v>281</v>
      </c>
      <c r="C20" s="52" t="s">
        <v>282</v>
      </c>
      <c r="D20" s="52" t="s">
        <v>12</v>
      </c>
      <c r="E20" s="52" t="s">
        <v>13</v>
      </c>
      <c r="F20" s="101" t="s">
        <v>48</v>
      </c>
      <c r="G20" s="52" t="s">
        <v>14</v>
      </c>
    </row>
    <row r="21" spans="1:7">
      <c r="A21" s="100" t="s">
        <v>283</v>
      </c>
      <c r="B21" s="14" t="s">
        <v>284</v>
      </c>
      <c r="C21" s="52" t="s">
        <v>285</v>
      </c>
      <c r="D21" s="52" t="s">
        <v>12</v>
      </c>
      <c r="E21" s="52" t="s">
        <v>13</v>
      </c>
      <c r="F21" s="101" t="s">
        <v>48</v>
      </c>
      <c r="G21" s="52" t="s">
        <v>14</v>
      </c>
    </row>
    <row r="22" spans="1:7">
      <c r="A22" s="100" t="s">
        <v>286</v>
      </c>
      <c r="B22" s="14" t="s">
        <v>287</v>
      </c>
      <c r="C22" s="103" t="s">
        <v>288</v>
      </c>
      <c r="D22" s="99" t="s">
        <v>289</v>
      </c>
      <c r="E22" s="99" t="s">
        <v>290</v>
      </c>
      <c r="F22" s="53" t="s">
        <v>291</v>
      </c>
      <c r="G22" s="99" t="s">
        <v>292</v>
      </c>
    </row>
    <row r="23" spans="1:7">
      <c r="A23" s="100" t="s">
        <v>293</v>
      </c>
      <c r="B23" s="14" t="s">
        <v>294</v>
      </c>
      <c r="C23" s="52" t="s">
        <v>295</v>
      </c>
      <c r="D23" s="99" t="s">
        <v>296</v>
      </c>
      <c r="E23" s="99" t="s">
        <v>7</v>
      </c>
      <c r="F23" s="101" t="s">
        <v>5</v>
      </c>
      <c r="G23" s="99" t="s">
        <v>292</v>
      </c>
    </row>
    <row r="24" spans="1:7">
      <c r="A24" s="100" t="s">
        <v>297</v>
      </c>
      <c r="B24" s="14" t="s">
        <v>298</v>
      </c>
      <c r="C24" s="99" t="s">
        <v>299</v>
      </c>
      <c r="D24" s="99" t="s">
        <v>300</v>
      </c>
      <c r="E24" s="99" t="s">
        <v>301</v>
      </c>
      <c r="F24" s="101" t="s">
        <v>5</v>
      </c>
      <c r="G24" s="99" t="s">
        <v>292</v>
      </c>
    </row>
    <row r="25" spans="1:7">
      <c r="A25" s="100" t="s">
        <v>302</v>
      </c>
      <c r="B25" s="14" t="s">
        <v>303</v>
      </c>
      <c r="C25" s="99" t="s">
        <v>304</v>
      </c>
      <c r="D25" s="99" t="s">
        <v>300</v>
      </c>
      <c r="E25" s="99" t="s">
        <v>301</v>
      </c>
      <c r="F25" s="101" t="s">
        <v>5</v>
      </c>
      <c r="G25" s="99" t="s">
        <v>292</v>
      </c>
    </row>
    <row r="26" spans="1:7">
      <c r="A26" s="100" t="s">
        <v>305</v>
      </c>
      <c r="B26" s="14" t="s">
        <v>306</v>
      </c>
      <c r="C26" s="52" t="s">
        <v>307</v>
      </c>
      <c r="D26" s="99" t="s">
        <v>308</v>
      </c>
      <c r="E26" s="99" t="s">
        <v>309</v>
      </c>
      <c r="F26" s="53" t="s">
        <v>310</v>
      </c>
      <c r="G26" s="99" t="s">
        <v>292</v>
      </c>
    </row>
    <row r="27" spans="1:7">
      <c r="A27" s="100" t="s">
        <v>311</v>
      </c>
      <c r="B27" s="14" t="s">
        <v>312</v>
      </c>
      <c r="C27" s="99" t="s">
        <v>313</v>
      </c>
      <c r="D27" s="99" t="s">
        <v>314</v>
      </c>
      <c r="E27" s="99" t="s">
        <v>315</v>
      </c>
      <c r="F27" s="53" t="s">
        <v>291</v>
      </c>
      <c r="G27" s="99" t="s">
        <v>292</v>
      </c>
    </row>
    <row r="28" spans="1:7">
      <c r="A28" s="100" t="s">
        <v>316</v>
      </c>
      <c r="B28" s="14" t="s">
        <v>317</v>
      </c>
      <c r="C28" s="99" t="s">
        <v>318</v>
      </c>
      <c r="D28" s="99" t="s">
        <v>289</v>
      </c>
      <c r="E28" s="99" t="s">
        <v>290</v>
      </c>
      <c r="F28" s="53" t="s">
        <v>291</v>
      </c>
      <c r="G28" s="99" t="s">
        <v>292</v>
      </c>
    </row>
  </sheetData>
  <dataConsolidate/>
  <conditionalFormatting sqref="A1 A29:A1048576">
    <cfRule type="duplicateValues" dxfId="18" priority="7"/>
  </conditionalFormatting>
  <conditionalFormatting sqref="C22">
    <cfRule type="duplicateValues" dxfId="17" priority="1"/>
  </conditionalFormatting>
  <conditionalFormatting sqref="A2:A18">
    <cfRule type="duplicateValues" dxfId="16" priority="6"/>
  </conditionalFormatting>
  <conditionalFormatting sqref="A19">
    <cfRule type="duplicateValues" dxfId="15" priority="5"/>
  </conditionalFormatting>
  <conditionalFormatting sqref="A20">
    <cfRule type="duplicateValues" dxfId="14" priority="4"/>
  </conditionalFormatting>
  <conditionalFormatting sqref="A21 A23:A28">
    <cfRule type="duplicateValues" dxfId="13" priority="3"/>
  </conditionalFormatting>
  <conditionalFormatting sqref="A22">
    <cfRule type="duplicateValues" dxfId="12" priority="2"/>
  </conditionalFormatting>
  <hyperlinks>
    <hyperlink ref="B5" r:id="rId1"/>
    <hyperlink ref="B6" r:id="rId2"/>
    <hyperlink ref="F5" r:id="rId3"/>
    <hyperlink ref="F6" r:id="rId4"/>
    <hyperlink ref="F9" r:id="rId5" location="para-30"/>
    <hyperlink ref="F11" r:id="rId6" location="para-30"/>
    <hyperlink ref="F12" r:id="rId7" location="para-30"/>
    <hyperlink ref="F13" r:id="rId8" location="para-30"/>
    <hyperlink ref="B9" r:id="rId9"/>
    <hyperlink ref="B11" r:id="rId10"/>
    <hyperlink ref="B12" r:id="rId11"/>
    <hyperlink ref="B13" r:id="rId12"/>
    <hyperlink ref="B14" r:id="rId13"/>
    <hyperlink ref="F14" r:id="rId14" location="para-30" display="http://unitsofmeasure.org/ucum.html#para-30"/>
    <hyperlink ref="B2" r:id="rId15"/>
    <hyperlink ref="F2" r:id="rId16"/>
    <hyperlink ref="B4" r:id="rId17"/>
    <hyperlink ref="F4" r:id="rId18" location="para-30"/>
    <hyperlink ref="F3" r:id="rId19"/>
    <hyperlink ref="B15" r:id="rId20" display="http://opendata.inrae.fr/thesaurusINRAE/c_15724 ; Dissolved organic carbon mass concentration in river water"/>
    <hyperlink ref="F15" r:id="rId21" location="para-30" display="http://unitsofmeasure.org/ucum.html#para-30"/>
    <hyperlink ref="B16" r:id="rId22" display="http://opendata.inrae.fr/thesaurusINRAE/c_15737"/>
    <hyperlink ref="F16" r:id="rId23" location="Measurement"/>
    <hyperlink ref="B17" r:id="rId24"/>
    <hyperlink ref="F17" r:id="rId25" location="para-30" display="http://unitsofmeasure.org/ucum.html#para-30"/>
    <hyperlink ref="F18" r:id="rId26" location="para-30" display="http://unitsofmeasure.org/ucum.html#para-30"/>
    <hyperlink ref="B18" r:id="rId27"/>
    <hyperlink ref="B19" r:id="rId28"/>
    <hyperlink ref="F19" r:id="rId29" location="para-30" display="http://unitsofmeasure.org/ucum.html#para-30"/>
    <hyperlink ref="F20" r:id="rId30" location="para-30" display="http://unitsofmeasure.org/ucum.html#para-30"/>
    <hyperlink ref="B20" r:id="rId31"/>
    <hyperlink ref="B3" r:id="rId32"/>
    <hyperlink ref="F21" r:id="rId33" location="para-30" display="http://unitsofmeasure.org/ucum.html#para-30"/>
    <hyperlink ref="B21" r:id="rId34"/>
    <hyperlink ref="B22" r:id="rId35" display="http://opendata.inrae.fr/thesaurusINRAE/c_11431 "/>
    <hyperlink ref="B25" r:id="rId36" display="https://w3id.org/ozcar-theia/c_9530bac1 "/>
    <hyperlink ref="B28" r:id="rId37" display="http://opendata.inrae.fr/thesaurusINRAE/c_241 , "/>
    <hyperlink ref="F22" r:id="rId38" location="para-28"/>
    <hyperlink ref="F23" r:id="rId39" location="para-30"/>
    <hyperlink ref="F24" r:id="rId40" location="para-30"/>
    <hyperlink ref="F25" r:id="rId41" location="para-30"/>
    <hyperlink ref="F27" r:id="rId42" location="para-28"/>
    <hyperlink ref="F28" r:id="rId43" location="para-28"/>
    <hyperlink ref="F26" r:id="rId44" location="para-29"/>
    <hyperlink ref="F10" r:id="rId45" location="para-30"/>
    <hyperlink ref="B7" r:id="rId46" display="http://opendata.inrae.fr/thesaurusINRAE/c_17430"/>
    <hyperlink ref="F7" r:id="rId47" location="para-45"/>
  </hyperlinks>
  <pageMargins left="0.78750000000000009" right="0.78750000000000009" top="1.05277777777778" bottom="1.05277777777778" header="0.78750000000000009" footer="0.78750000000000009"/>
  <pageSetup paperSize="9" firstPageNumber="2147483648" orientation="portrait" useFirstPageNumber="1" horizontalDpi="300" verticalDpi="300" r:id="rId48"/>
  <headerFooter>
    <oddHeader>&amp;C&amp;"Times New Roman,Normal"&amp;12&amp;A</oddHeader>
    <oddFooter>&amp;C&amp;"Times New Roman,Normal"&amp;12Page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C00000"/>
  </sheetPr>
  <dimension ref="A1:N27"/>
  <sheetViews>
    <sheetView zoomScale="70" zoomScaleNormal="70" workbookViewId="0">
      <pane xSplit="1" ySplit="1" topLeftCell="B9" activePane="bottomRight" state="frozen"/>
      <selection pane="topRight" activeCell="B1" sqref="B1"/>
      <selection pane="bottomLeft" activeCell="A2" sqref="A2"/>
      <selection pane="bottomRight" activeCell="F39" sqref="F39"/>
    </sheetView>
  </sheetViews>
  <sheetFormatPr baseColWidth="10" defaultColWidth="11.5703125" defaultRowHeight="15"/>
  <cols>
    <col min="1" max="1" width="28.7109375" style="2" customWidth="1"/>
    <col min="2" max="2" width="45.85546875" style="13" customWidth="1"/>
    <col min="3" max="3" width="15" style="11" customWidth="1"/>
    <col min="4" max="4" width="39.28515625" style="13" customWidth="1"/>
    <col min="5" max="5" width="33.140625" style="11" customWidth="1"/>
    <col min="6" max="6" width="36.140625" style="11" customWidth="1"/>
    <col min="7" max="7" width="32.85546875" style="11" customWidth="1"/>
    <col min="8" max="14" width="18.140625" style="2" bestFit="1" customWidth="1"/>
    <col min="15" max="16384" width="11.5703125" style="2"/>
  </cols>
  <sheetData>
    <row r="1" spans="1:14">
      <c r="A1" s="54" t="s">
        <v>22</v>
      </c>
      <c r="B1" s="54" t="s">
        <v>23</v>
      </c>
      <c r="C1" s="92" t="s">
        <v>225</v>
      </c>
      <c r="D1" s="54" t="s">
        <v>227</v>
      </c>
      <c r="E1" s="3" t="s">
        <v>25</v>
      </c>
      <c r="F1" s="3" t="s">
        <v>26</v>
      </c>
      <c r="G1" s="4" t="s">
        <v>27</v>
      </c>
      <c r="H1" s="74" t="s">
        <v>138</v>
      </c>
      <c r="I1" s="74" t="s">
        <v>139</v>
      </c>
      <c r="J1" s="74" t="s">
        <v>140</v>
      </c>
      <c r="K1" s="74" t="s">
        <v>141</v>
      </c>
      <c r="L1" s="74" t="s">
        <v>142</v>
      </c>
      <c r="M1" s="74" t="s">
        <v>143</v>
      </c>
      <c r="N1" s="74" t="s">
        <v>144</v>
      </c>
    </row>
    <row r="2" spans="1:14" ht="39">
      <c r="A2" s="5" t="s">
        <v>213</v>
      </c>
      <c r="B2" s="114" t="s">
        <v>28</v>
      </c>
      <c r="C2" s="93" t="s">
        <v>228</v>
      </c>
      <c r="D2" s="6" t="s">
        <v>20</v>
      </c>
      <c r="E2" s="109"/>
      <c r="F2" s="109"/>
      <c r="G2" s="109" t="s">
        <v>29</v>
      </c>
      <c r="H2" s="105" t="s">
        <v>208</v>
      </c>
      <c r="I2" s="105"/>
      <c r="J2" s="105"/>
      <c r="K2" s="105"/>
      <c r="L2" s="105"/>
      <c r="M2" s="105"/>
      <c r="N2" s="105"/>
    </row>
    <row r="3" spans="1:14">
      <c r="A3" s="5" t="s">
        <v>214</v>
      </c>
      <c r="B3" s="8" t="s">
        <v>30</v>
      </c>
      <c r="C3" s="93" t="s">
        <v>228</v>
      </c>
      <c r="D3" s="5"/>
      <c r="E3" s="109" t="s">
        <v>31</v>
      </c>
      <c r="F3" s="109" t="s">
        <v>32</v>
      </c>
      <c r="G3" s="109" t="s">
        <v>33</v>
      </c>
      <c r="H3" s="105" t="s">
        <v>210</v>
      </c>
      <c r="I3" s="105"/>
      <c r="J3" s="105"/>
      <c r="K3" s="105"/>
      <c r="L3" s="105"/>
      <c r="M3" s="105"/>
      <c r="N3" s="105"/>
    </row>
    <row r="4" spans="1:14" ht="45">
      <c r="A4" s="5" t="s">
        <v>215</v>
      </c>
      <c r="B4" s="114" t="s">
        <v>35</v>
      </c>
      <c r="C4" s="93" t="s">
        <v>228</v>
      </c>
      <c r="D4" s="9" t="s">
        <v>34</v>
      </c>
      <c r="E4" s="108" t="s">
        <v>36</v>
      </c>
      <c r="F4" s="108" t="s">
        <v>37</v>
      </c>
      <c r="G4" s="108" t="s">
        <v>38</v>
      </c>
      <c r="H4" s="105" t="s">
        <v>208</v>
      </c>
      <c r="I4" s="105" t="s">
        <v>210</v>
      </c>
      <c r="J4" s="105" t="s">
        <v>211</v>
      </c>
      <c r="K4" s="105"/>
      <c r="L4" s="105"/>
      <c r="M4" s="105"/>
      <c r="N4" s="105"/>
    </row>
    <row r="5" spans="1:14" ht="30">
      <c r="A5" s="8" t="s">
        <v>216</v>
      </c>
      <c r="B5" s="115" t="s">
        <v>39</v>
      </c>
      <c r="C5" s="93" t="s">
        <v>228</v>
      </c>
      <c r="D5" s="116"/>
      <c r="E5" s="109"/>
      <c r="F5" s="109"/>
      <c r="G5" s="109"/>
      <c r="H5" s="105" t="s">
        <v>208</v>
      </c>
      <c r="I5" s="105"/>
      <c r="J5" s="105"/>
      <c r="K5" s="105"/>
      <c r="L5" s="105"/>
      <c r="M5" s="105"/>
      <c r="N5" s="105"/>
    </row>
    <row r="6" spans="1:14" ht="60">
      <c r="A6" s="15" t="s">
        <v>217</v>
      </c>
      <c r="B6" s="112" t="s">
        <v>169</v>
      </c>
      <c r="C6" s="93" t="s">
        <v>228</v>
      </c>
      <c r="D6" s="9" t="s">
        <v>40</v>
      </c>
      <c r="E6" s="104" t="s">
        <v>170</v>
      </c>
      <c r="F6" s="104" t="s">
        <v>171</v>
      </c>
      <c r="G6" s="104" t="s">
        <v>172</v>
      </c>
      <c r="H6" s="105" t="s">
        <v>212</v>
      </c>
      <c r="I6" s="105" t="s">
        <v>210</v>
      </c>
      <c r="J6" s="105"/>
      <c r="K6" s="105"/>
      <c r="L6" s="105"/>
      <c r="M6" s="105"/>
      <c r="N6" s="105"/>
    </row>
    <row r="7" spans="1:14" ht="45">
      <c r="A7" s="97" t="s">
        <v>218</v>
      </c>
      <c r="B7" s="114" t="s">
        <v>173</v>
      </c>
      <c r="C7" s="93" t="s">
        <v>228</v>
      </c>
      <c r="D7" s="14" t="s">
        <v>174</v>
      </c>
      <c r="E7" s="104" t="s">
        <v>175</v>
      </c>
      <c r="F7" s="104" t="s">
        <v>176</v>
      </c>
      <c r="G7" s="104" t="s">
        <v>177</v>
      </c>
      <c r="H7" s="105" t="s">
        <v>209</v>
      </c>
      <c r="I7" s="105" t="s">
        <v>210</v>
      </c>
      <c r="J7" s="105"/>
      <c r="K7" s="105"/>
      <c r="L7" s="105"/>
      <c r="M7" s="105"/>
      <c r="N7" s="105"/>
    </row>
    <row r="8" spans="1:14" ht="75">
      <c r="A8" s="97" t="s">
        <v>219</v>
      </c>
      <c r="B8" s="5" t="s">
        <v>178</v>
      </c>
      <c r="C8" s="93" t="s">
        <v>228</v>
      </c>
      <c r="D8" s="14" t="s">
        <v>179</v>
      </c>
      <c r="E8" s="104" t="s">
        <v>180</v>
      </c>
      <c r="F8" s="104" t="s">
        <v>181</v>
      </c>
      <c r="G8" s="104" t="s">
        <v>182</v>
      </c>
      <c r="H8" s="105" t="s">
        <v>209</v>
      </c>
      <c r="I8" s="105" t="s">
        <v>210</v>
      </c>
      <c r="J8" s="105" t="s">
        <v>211</v>
      </c>
      <c r="K8" s="105"/>
      <c r="L8" s="105"/>
      <c r="M8" s="105"/>
      <c r="N8" s="105"/>
    </row>
    <row r="9" spans="1:14" ht="75">
      <c r="A9" s="97" t="s">
        <v>220</v>
      </c>
      <c r="B9" s="5" t="s">
        <v>35</v>
      </c>
      <c r="C9" s="93" t="s">
        <v>228</v>
      </c>
      <c r="D9" s="14" t="s">
        <v>183</v>
      </c>
      <c r="E9" s="104" t="s">
        <v>184</v>
      </c>
      <c r="F9" s="104" t="s">
        <v>185</v>
      </c>
      <c r="G9" s="104" t="s">
        <v>186</v>
      </c>
      <c r="H9" s="105" t="s">
        <v>209</v>
      </c>
      <c r="I9" s="105" t="s">
        <v>210</v>
      </c>
      <c r="J9" s="105" t="s">
        <v>211</v>
      </c>
      <c r="K9" s="105" t="s">
        <v>208</v>
      </c>
      <c r="L9" s="105"/>
      <c r="M9" s="105"/>
      <c r="N9" s="105"/>
    </row>
    <row r="10" spans="1:14">
      <c r="A10" s="97" t="s">
        <v>319</v>
      </c>
      <c r="B10" s="5" t="s">
        <v>320</v>
      </c>
      <c r="C10" s="93"/>
      <c r="D10" s="14"/>
      <c r="E10" s="104" t="s">
        <v>321</v>
      </c>
      <c r="F10" s="104"/>
      <c r="G10" s="104" t="s">
        <v>322</v>
      </c>
      <c r="H10" s="124" t="s">
        <v>208</v>
      </c>
      <c r="I10" s="105"/>
      <c r="J10" s="105"/>
      <c r="K10" s="105"/>
      <c r="L10" s="105"/>
      <c r="M10" s="105"/>
      <c r="N10" s="105"/>
    </row>
    <row r="11" spans="1:14">
      <c r="A11" s="129" t="s">
        <v>446</v>
      </c>
      <c r="B11" s="5" t="s">
        <v>440</v>
      </c>
      <c r="C11" s="93"/>
      <c r="D11" s="14"/>
      <c r="E11" s="104"/>
      <c r="F11" s="104"/>
      <c r="G11" s="104"/>
      <c r="H11" s="105"/>
      <c r="I11" s="105"/>
      <c r="J11" s="105"/>
      <c r="K11" s="105"/>
      <c r="L11" s="105"/>
      <c r="M11" s="105"/>
      <c r="N11" s="105"/>
    </row>
    <row r="12" spans="1:14" ht="45">
      <c r="A12" s="105" t="s">
        <v>323</v>
      </c>
      <c r="B12" s="106" t="s">
        <v>324</v>
      </c>
      <c r="C12" s="107" t="s">
        <v>228</v>
      </c>
      <c r="D12" s="14" t="s">
        <v>325</v>
      </c>
      <c r="E12" s="108" t="s">
        <v>326</v>
      </c>
      <c r="F12" s="108" t="s">
        <v>327</v>
      </c>
      <c r="G12" s="109" t="s">
        <v>328</v>
      </c>
      <c r="H12" s="105" t="s">
        <v>162</v>
      </c>
      <c r="I12" s="105" t="s">
        <v>262</v>
      </c>
      <c r="J12" s="105" t="s">
        <v>329</v>
      </c>
      <c r="K12" s="105"/>
      <c r="L12" s="105"/>
      <c r="M12" s="105"/>
      <c r="N12" s="105"/>
    </row>
    <row r="13" spans="1:14">
      <c r="A13" s="105" t="s">
        <v>330</v>
      </c>
      <c r="B13" s="106" t="s">
        <v>331</v>
      </c>
      <c r="C13" s="107" t="s">
        <v>228</v>
      </c>
      <c r="D13" s="14" t="s">
        <v>332</v>
      </c>
      <c r="E13" s="109" t="s">
        <v>333</v>
      </c>
      <c r="F13" s="109" t="s">
        <v>334</v>
      </c>
      <c r="G13" s="109" t="s">
        <v>335</v>
      </c>
      <c r="H13" s="105" t="s">
        <v>271</v>
      </c>
      <c r="I13" s="105" t="s">
        <v>274</v>
      </c>
      <c r="J13" s="105"/>
      <c r="K13" s="105"/>
      <c r="L13" s="105"/>
      <c r="M13" s="105"/>
      <c r="N13" s="105"/>
    </row>
    <row r="14" spans="1:14">
      <c r="A14" s="105" t="s">
        <v>336</v>
      </c>
      <c r="B14" s="106" t="s">
        <v>337</v>
      </c>
      <c r="C14" s="107" t="s">
        <v>228</v>
      </c>
      <c r="D14" s="14" t="s">
        <v>338</v>
      </c>
      <c r="E14" s="109" t="s">
        <v>339</v>
      </c>
      <c r="F14" s="109" t="s">
        <v>340</v>
      </c>
      <c r="G14" s="109" t="s">
        <v>341</v>
      </c>
      <c r="H14" s="105" t="s">
        <v>265</v>
      </c>
      <c r="I14" s="105"/>
      <c r="J14" s="105"/>
      <c r="K14" s="105"/>
      <c r="L14" s="105"/>
      <c r="M14" s="105"/>
      <c r="N14" s="105"/>
    </row>
    <row r="15" spans="1:14">
      <c r="A15" s="105"/>
      <c r="B15" s="106"/>
      <c r="C15" s="107"/>
      <c r="D15" s="105"/>
      <c r="E15" s="109"/>
      <c r="F15" s="109"/>
      <c r="G15" s="109"/>
      <c r="H15" s="105"/>
      <c r="I15" s="105"/>
      <c r="J15" s="105"/>
      <c r="K15" s="105"/>
      <c r="L15" s="105"/>
      <c r="M15" s="105"/>
      <c r="N15" s="105"/>
    </row>
    <row r="16" spans="1:14">
      <c r="A16" s="105"/>
      <c r="B16" s="106"/>
      <c r="C16" s="107"/>
      <c r="D16" s="105"/>
      <c r="E16" s="109"/>
      <c r="F16" s="109"/>
      <c r="G16" s="109"/>
      <c r="H16" s="105"/>
      <c r="I16" s="105"/>
      <c r="J16" s="105"/>
      <c r="K16" s="105"/>
      <c r="L16" s="105"/>
      <c r="M16" s="105"/>
      <c r="N16" s="105"/>
    </row>
    <row r="17" spans="1:14">
      <c r="A17" s="105"/>
      <c r="B17" s="106"/>
      <c r="C17" s="107"/>
      <c r="D17" s="105"/>
      <c r="E17" s="109"/>
      <c r="F17" s="109"/>
      <c r="G17" s="109"/>
      <c r="H17" s="105"/>
      <c r="I17" s="105"/>
      <c r="J17" s="105"/>
      <c r="K17" s="105"/>
      <c r="L17" s="105"/>
      <c r="M17" s="105"/>
      <c r="N17" s="105"/>
    </row>
    <row r="18" spans="1:14">
      <c r="A18" s="105"/>
      <c r="B18" s="106"/>
      <c r="C18" s="107"/>
      <c r="D18" s="14"/>
      <c r="E18" s="109"/>
      <c r="F18" s="109"/>
      <c r="G18" s="109"/>
      <c r="H18" s="105"/>
      <c r="I18" s="105"/>
      <c r="J18" s="105"/>
      <c r="K18" s="105"/>
      <c r="L18" s="105"/>
      <c r="M18" s="105"/>
      <c r="N18" s="105"/>
    </row>
    <row r="19" spans="1:14">
      <c r="A19" s="105"/>
      <c r="B19" s="106"/>
      <c r="C19" s="107"/>
      <c r="D19" s="14"/>
      <c r="E19" s="109"/>
      <c r="F19" s="109"/>
      <c r="G19" s="109"/>
      <c r="H19" s="105"/>
      <c r="I19" s="105"/>
      <c r="J19" s="105"/>
      <c r="K19" s="105"/>
      <c r="L19" s="105"/>
      <c r="M19" s="105"/>
      <c r="N19" s="105"/>
    </row>
    <row r="20" spans="1:14">
      <c r="A20" s="105"/>
      <c r="B20" s="110"/>
      <c r="C20" s="107"/>
      <c r="D20" s="14"/>
      <c r="E20" s="109"/>
      <c r="F20" s="109"/>
      <c r="G20" s="109"/>
      <c r="H20" s="105"/>
      <c r="I20" s="105"/>
      <c r="J20" s="105"/>
      <c r="K20" s="105"/>
      <c r="L20" s="105"/>
      <c r="M20" s="105"/>
      <c r="N20" s="105"/>
    </row>
    <row r="21" spans="1:14">
      <c r="A21" s="105"/>
      <c r="B21" s="111"/>
      <c r="C21" s="107"/>
      <c r="D21" s="14"/>
      <c r="E21" s="109"/>
      <c r="F21" s="109"/>
      <c r="G21" s="109"/>
      <c r="H21" s="105"/>
      <c r="I21" s="105"/>
      <c r="J21" s="105"/>
      <c r="K21" s="105"/>
      <c r="L21" s="105"/>
      <c r="M21" s="105"/>
      <c r="N21" s="105"/>
    </row>
    <row r="22" spans="1:14">
      <c r="A22" s="105"/>
      <c r="B22" s="106"/>
      <c r="C22" s="107"/>
      <c r="D22" s="14"/>
      <c r="E22" s="109"/>
      <c r="F22" s="109"/>
      <c r="G22" s="109"/>
      <c r="H22" s="105"/>
      <c r="I22" s="105"/>
      <c r="J22" s="105"/>
      <c r="K22" s="105"/>
      <c r="L22" s="105"/>
      <c r="M22" s="105"/>
      <c r="N22" s="105"/>
    </row>
    <row r="23" spans="1:14">
      <c r="A23" s="105"/>
      <c r="B23" s="106"/>
      <c r="C23" s="107"/>
      <c r="D23" s="14"/>
      <c r="E23" s="109"/>
      <c r="F23" s="109"/>
      <c r="G23" s="109"/>
      <c r="H23" s="105"/>
      <c r="I23" s="105"/>
      <c r="J23" s="105"/>
      <c r="K23" s="105"/>
      <c r="L23" s="105"/>
      <c r="M23" s="105"/>
      <c r="N23" s="105"/>
    </row>
    <row r="24" spans="1:14">
      <c r="A24" s="105"/>
      <c r="B24" s="106"/>
      <c r="C24" s="107"/>
      <c r="D24" s="14"/>
      <c r="E24" s="109"/>
      <c r="F24" s="109"/>
      <c r="G24" s="109"/>
      <c r="H24" s="105"/>
      <c r="I24" s="105"/>
      <c r="J24" s="105"/>
      <c r="K24" s="105"/>
      <c r="L24" s="105"/>
      <c r="M24" s="105"/>
      <c r="N24" s="105"/>
    </row>
    <row r="25" spans="1:14">
      <c r="A25" s="105"/>
      <c r="B25" s="106"/>
      <c r="C25" s="107"/>
      <c r="D25" s="14"/>
      <c r="E25" s="109"/>
      <c r="F25" s="109"/>
      <c r="G25" s="109"/>
      <c r="H25" s="105"/>
      <c r="I25" s="105"/>
      <c r="J25" s="105"/>
      <c r="K25" s="105"/>
      <c r="L25" s="105"/>
      <c r="M25" s="105"/>
      <c r="N25" s="105"/>
    </row>
    <row r="26" spans="1:14">
      <c r="A26" s="10"/>
      <c r="B26" s="12"/>
      <c r="C26" s="94"/>
      <c r="D26" s="113"/>
      <c r="E26" s="7"/>
      <c r="F26" s="7"/>
      <c r="G26" s="7"/>
      <c r="H26" s="10"/>
      <c r="I26" s="10"/>
      <c r="J26" s="10"/>
      <c r="K26" s="10"/>
      <c r="L26" s="10"/>
      <c r="M26" s="10"/>
      <c r="N26" s="10"/>
    </row>
    <row r="27" spans="1:14">
      <c r="A27" s="10"/>
      <c r="B27" s="12"/>
      <c r="C27" s="94"/>
      <c r="D27" s="113"/>
      <c r="E27" s="7"/>
      <c r="F27" s="7"/>
      <c r="G27" s="7"/>
      <c r="H27" s="10"/>
      <c r="I27" s="10"/>
      <c r="J27" s="10"/>
      <c r="K27" s="10"/>
      <c r="L27" s="10"/>
      <c r="M27" s="10"/>
      <c r="N27" s="10"/>
    </row>
  </sheetData>
  <conditionalFormatting sqref="A26:A1048576 A1">
    <cfRule type="duplicateValues" dxfId="11" priority="7"/>
  </conditionalFormatting>
  <conditionalFormatting sqref="A2:A23">
    <cfRule type="duplicateValues" dxfId="10" priority="3"/>
  </conditionalFormatting>
  <conditionalFormatting sqref="A24">
    <cfRule type="duplicateValues" dxfId="9" priority="2"/>
  </conditionalFormatting>
  <conditionalFormatting sqref="A25">
    <cfRule type="duplicateValues" dxfId="8" priority="1"/>
  </conditionalFormatting>
  <hyperlinks>
    <hyperlink ref="D4" r:id="rId1"/>
    <hyperlink ref="D2" r:id="rId2"/>
    <hyperlink ref="D6" r:id="rId3"/>
    <hyperlink ref="D8" r:id="rId4"/>
    <hyperlink ref="D7" r:id="rId5"/>
    <hyperlink ref="D9" r:id="rId6"/>
    <hyperlink ref="D13" r:id="rId7" display="https://fr.hach.com/analyseurs-de-phosphates/analyseur-de-phosphate-phosphax-sigma/family?productCategoryId=25033233204"/>
    <hyperlink ref="D14" r:id="rId8"/>
    <hyperlink ref="D12" r:id="rId9"/>
  </hyperlinks>
  <pageMargins left="0.78750000000000009" right="0.78750000000000009" top="1.05277777777778" bottom="1.05277777777778" header="0.78750000000000009" footer="0.78750000000000009"/>
  <pageSetup paperSize="9" firstPageNumber="2147483648" orientation="portrait" horizontalDpi="300" verticalDpi="300" r:id="rId10"/>
  <headerFooter>
    <oddHeader>&amp;C&amp;"Times New Roman,Normal"&amp;12&amp;A</oddHeader>
    <oddFooter>&amp;C&amp;"Times New Roman,Normal"&amp;12Page &amp;P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'1_observedProperty'!$A$2:$A$33</xm:f>
          </x14:formula1>
          <xm:sqref>H2:P27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C00000"/>
  </sheetPr>
  <dimension ref="A1:AME46"/>
  <sheetViews>
    <sheetView tabSelected="1" zoomScale="70" zoomScaleNormal="70" workbookViewId="0">
      <pane ySplit="1" topLeftCell="A2" activePane="bottomLeft" state="frozen"/>
      <selection pane="bottomLeft" activeCell="D8" sqref="D8"/>
    </sheetView>
  </sheetViews>
  <sheetFormatPr baseColWidth="10" defaultColWidth="11.5703125" defaultRowHeight="15"/>
  <cols>
    <col min="1" max="1" width="15.140625" style="1" bestFit="1" customWidth="1"/>
    <col min="2" max="2" width="37.42578125" style="1" bestFit="1" customWidth="1"/>
    <col min="3" max="3" width="11.7109375" style="88" bestFit="1" customWidth="1"/>
    <col min="4" max="4" width="30.140625" style="88" customWidth="1"/>
    <col min="5" max="5" width="14.42578125" style="1" bestFit="1" customWidth="1"/>
    <col min="6" max="6" width="19.85546875" style="1" bestFit="1" customWidth="1"/>
    <col min="7" max="7" width="24.85546875" style="1" bestFit="1" customWidth="1"/>
    <col min="8" max="8" width="23" style="1" bestFit="1" customWidth="1"/>
    <col min="9" max="10" width="24.85546875" style="1" bestFit="1" customWidth="1"/>
    <col min="11" max="12" width="7.85546875" style="1" bestFit="1" customWidth="1"/>
    <col min="13" max="1019" width="11.5703125" style="1"/>
    <col min="1020" max="16384" width="11.5703125" style="13"/>
  </cols>
  <sheetData>
    <row r="1" spans="1:18">
      <c r="A1" s="60" t="s">
        <v>22</v>
      </c>
      <c r="B1" s="60" t="s">
        <v>23</v>
      </c>
      <c r="C1" s="87" t="s">
        <v>198</v>
      </c>
      <c r="D1" s="87" t="s">
        <v>199</v>
      </c>
      <c r="E1" s="54" t="s">
        <v>146</v>
      </c>
      <c r="F1" s="54" t="s">
        <v>147</v>
      </c>
      <c r="G1" s="54" t="s">
        <v>148</v>
      </c>
      <c r="H1" s="54" t="s">
        <v>149</v>
      </c>
      <c r="I1" s="54" t="s">
        <v>150</v>
      </c>
      <c r="J1" s="54" t="s">
        <v>151</v>
      </c>
      <c r="K1" s="54" t="s">
        <v>152</v>
      </c>
      <c r="L1" s="54" t="s">
        <v>153</v>
      </c>
      <c r="M1" s="54" t="s">
        <v>350</v>
      </c>
      <c r="N1" s="54" t="s">
        <v>351</v>
      </c>
      <c r="O1" s="54" t="s">
        <v>352</v>
      </c>
      <c r="P1" s="54" t="s">
        <v>353</v>
      </c>
      <c r="Q1" s="54" t="s">
        <v>354</v>
      </c>
      <c r="R1" s="126" t="s">
        <v>441</v>
      </c>
    </row>
    <row r="2" spans="1:18" ht="75">
      <c r="A2" s="17" t="s">
        <v>221</v>
      </c>
      <c r="B2" s="17" t="s">
        <v>21</v>
      </c>
      <c r="C2" s="142" t="s">
        <v>489</v>
      </c>
      <c r="D2" s="117" t="s">
        <v>238</v>
      </c>
      <c r="E2" s="115" t="s">
        <v>213</v>
      </c>
      <c r="F2" s="115" t="s">
        <v>215</v>
      </c>
      <c r="G2" s="115" t="s">
        <v>214</v>
      </c>
      <c r="H2" s="115" t="s">
        <v>216</v>
      </c>
      <c r="I2" s="115" t="s">
        <v>343</v>
      </c>
      <c r="J2" s="115" t="s">
        <v>348</v>
      </c>
      <c r="K2" s="115" t="s">
        <v>347</v>
      </c>
      <c r="L2" s="115" t="s">
        <v>346</v>
      </c>
      <c r="M2" s="115" t="s">
        <v>345</v>
      </c>
      <c r="N2" s="115" t="s">
        <v>319</v>
      </c>
      <c r="O2" s="115"/>
      <c r="P2" s="115"/>
      <c r="Q2" s="115"/>
      <c r="R2" s="125"/>
    </row>
    <row r="3" spans="1:18" ht="90">
      <c r="A3" s="17" t="s">
        <v>222</v>
      </c>
      <c r="B3" s="17" t="s">
        <v>24</v>
      </c>
      <c r="C3" s="142" t="s">
        <v>489</v>
      </c>
      <c r="D3" s="117" t="s">
        <v>202</v>
      </c>
      <c r="E3" s="115" t="s">
        <v>215</v>
      </c>
      <c r="F3" s="115" t="s">
        <v>217</v>
      </c>
      <c r="G3" s="115" t="s">
        <v>214</v>
      </c>
      <c r="H3" s="115" t="s">
        <v>213</v>
      </c>
      <c r="I3" s="115" t="s">
        <v>214</v>
      </c>
      <c r="J3" s="115" t="s">
        <v>355</v>
      </c>
      <c r="K3" s="115" t="s">
        <v>330</v>
      </c>
      <c r="L3" s="115" t="s">
        <v>336</v>
      </c>
      <c r="M3" s="115" t="s">
        <v>344</v>
      </c>
      <c r="N3" s="115" t="s">
        <v>342</v>
      </c>
      <c r="O3" s="115" t="s">
        <v>348</v>
      </c>
      <c r="P3" s="115" t="s">
        <v>349</v>
      </c>
      <c r="Q3" s="115" t="s">
        <v>345</v>
      </c>
      <c r="R3" s="125"/>
    </row>
    <row r="4" spans="1:18">
      <c r="A4" s="17"/>
      <c r="B4" s="17"/>
      <c r="C4" s="117"/>
      <c r="D4" s="117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25"/>
    </row>
    <row r="5" spans="1:18">
      <c r="A5" s="17"/>
      <c r="B5" s="17"/>
      <c r="C5" s="117"/>
      <c r="D5" s="117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25"/>
    </row>
    <row r="6" spans="1:18">
      <c r="A6" s="17"/>
      <c r="B6" s="17"/>
      <c r="C6" s="117"/>
      <c r="D6" s="117"/>
      <c r="E6" s="115"/>
      <c r="F6" s="115"/>
      <c r="G6" s="115"/>
      <c r="H6" s="115"/>
      <c r="I6" s="115"/>
      <c r="J6" s="115"/>
      <c r="K6" s="115"/>
      <c r="L6" s="115"/>
      <c r="M6" s="115"/>
      <c r="N6" s="115"/>
      <c r="O6" s="115"/>
      <c r="P6" s="115"/>
      <c r="Q6" s="115"/>
      <c r="R6" s="125"/>
    </row>
    <row r="7" spans="1:18">
      <c r="A7" s="17"/>
      <c r="B7" s="17"/>
      <c r="C7" s="117"/>
      <c r="D7" s="117"/>
      <c r="E7" s="115"/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25"/>
    </row>
    <row r="8" spans="1:18">
      <c r="A8" s="17"/>
      <c r="B8" s="17"/>
      <c r="C8" s="117"/>
      <c r="D8" s="117"/>
      <c r="E8" s="115"/>
      <c r="F8" s="115"/>
      <c r="G8" s="115"/>
      <c r="H8" s="115"/>
      <c r="I8" s="115"/>
      <c r="J8" s="115"/>
      <c r="K8" s="115"/>
      <c r="L8" s="115"/>
      <c r="M8" s="115"/>
      <c r="N8" s="115"/>
      <c r="O8" s="115"/>
      <c r="P8" s="115"/>
      <c r="Q8" s="115"/>
      <c r="R8" s="125"/>
    </row>
    <row r="9" spans="1:18">
      <c r="A9" s="17"/>
      <c r="B9" s="17"/>
      <c r="C9" s="117"/>
      <c r="D9" s="117"/>
      <c r="E9" s="115"/>
      <c r="F9" s="115"/>
      <c r="G9" s="115"/>
      <c r="H9" s="115"/>
      <c r="I9" s="115"/>
      <c r="J9" s="115"/>
      <c r="K9" s="115"/>
      <c r="L9" s="115"/>
      <c r="M9" s="115"/>
      <c r="N9" s="115"/>
      <c r="O9" s="115"/>
      <c r="P9" s="115"/>
      <c r="Q9" s="115"/>
      <c r="R9" s="125"/>
    </row>
    <row r="10" spans="1:18">
      <c r="A10" s="17"/>
      <c r="B10" s="17"/>
      <c r="C10" s="117"/>
      <c r="D10" s="117"/>
      <c r="E10" s="115"/>
      <c r="F10" s="115"/>
      <c r="G10" s="115"/>
      <c r="H10" s="115"/>
      <c r="I10" s="115"/>
      <c r="J10" s="115"/>
      <c r="K10" s="115"/>
      <c r="L10" s="115"/>
      <c r="M10" s="115"/>
      <c r="N10" s="115"/>
      <c r="O10" s="115"/>
      <c r="P10" s="115"/>
      <c r="Q10" s="115"/>
      <c r="R10" s="125"/>
    </row>
    <row r="11" spans="1:18">
      <c r="A11" s="17"/>
      <c r="B11" s="17"/>
      <c r="C11" s="117"/>
      <c r="D11" s="117"/>
      <c r="E11" s="115"/>
      <c r="F11" s="115"/>
      <c r="G11" s="115"/>
      <c r="H11" s="115"/>
      <c r="I11" s="115"/>
      <c r="J11" s="115"/>
      <c r="K11" s="115"/>
      <c r="L11" s="115"/>
      <c r="M11" s="115"/>
      <c r="N11" s="115"/>
      <c r="O11" s="115"/>
      <c r="P11" s="115"/>
      <c r="Q11" s="115"/>
      <c r="R11" s="125"/>
    </row>
    <row r="12" spans="1:18">
      <c r="A12" s="17"/>
      <c r="B12" s="17"/>
      <c r="C12" s="117"/>
      <c r="D12" s="117"/>
      <c r="E12" s="115"/>
      <c r="F12" s="115"/>
      <c r="G12" s="115"/>
      <c r="H12" s="115"/>
      <c r="I12" s="115"/>
      <c r="J12" s="115"/>
      <c r="K12" s="115"/>
      <c r="L12" s="115"/>
      <c r="M12" s="115"/>
      <c r="N12" s="115"/>
      <c r="O12" s="115"/>
      <c r="P12" s="115"/>
      <c r="Q12" s="115"/>
      <c r="R12" s="125"/>
    </row>
    <row r="13" spans="1:18">
      <c r="A13" s="17"/>
      <c r="B13" s="17"/>
      <c r="C13" s="117"/>
      <c r="D13" s="117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25"/>
    </row>
    <row r="14" spans="1:18">
      <c r="A14" s="17"/>
      <c r="B14" s="17"/>
      <c r="C14" s="117"/>
      <c r="D14" s="117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25"/>
    </row>
    <row r="15" spans="1:18">
      <c r="A15" s="17"/>
      <c r="B15" s="17"/>
      <c r="C15" s="117"/>
      <c r="D15" s="117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25"/>
    </row>
    <row r="16" spans="1:18">
      <c r="A16" s="118"/>
      <c r="B16" s="118"/>
      <c r="C16" s="117"/>
      <c r="D16" s="117"/>
      <c r="E16" s="115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  <c r="Q16" s="115"/>
      <c r="R16" s="125"/>
    </row>
    <row r="17" spans="1:18">
      <c r="A17" s="118"/>
      <c r="B17" s="118"/>
      <c r="C17" s="117"/>
      <c r="D17" s="117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115"/>
      <c r="R17" s="125"/>
    </row>
    <row r="18" spans="1:18">
      <c r="A18" s="118"/>
      <c r="B18" s="118"/>
      <c r="C18" s="117"/>
      <c r="D18" s="117"/>
      <c r="E18" s="115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115"/>
      <c r="R18" s="125"/>
    </row>
    <row r="19" spans="1:18">
      <c r="A19" s="118"/>
      <c r="B19" s="118"/>
      <c r="C19" s="117"/>
      <c r="D19" s="117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25"/>
    </row>
    <row r="20" spans="1:18">
      <c r="A20" s="118"/>
      <c r="B20" s="118"/>
      <c r="C20" s="117"/>
      <c r="D20" s="117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25"/>
    </row>
    <row r="21" spans="1:18">
      <c r="A21" s="118"/>
      <c r="B21" s="118"/>
      <c r="C21" s="117"/>
      <c r="D21" s="117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25"/>
    </row>
    <row r="22" spans="1:18">
      <c r="A22" s="118"/>
      <c r="B22" s="118"/>
      <c r="C22" s="117"/>
      <c r="D22" s="117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25"/>
    </row>
    <row r="23" spans="1:18">
      <c r="A23" s="118"/>
      <c r="B23" s="118"/>
      <c r="C23" s="117"/>
      <c r="D23" s="117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25"/>
    </row>
    <row r="24" spans="1:18">
      <c r="A24" s="118"/>
      <c r="B24" s="118"/>
      <c r="C24" s="117"/>
      <c r="D24" s="117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25"/>
    </row>
    <row r="25" spans="1:18">
      <c r="A25" s="118"/>
      <c r="B25" s="118"/>
      <c r="C25" s="117"/>
      <c r="D25" s="117"/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25"/>
    </row>
    <row r="26" spans="1:18">
      <c r="A26" s="118"/>
      <c r="B26" s="118"/>
      <c r="C26" s="117"/>
      <c r="D26" s="117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25"/>
    </row>
    <row r="27" spans="1:18">
      <c r="A27" s="118"/>
      <c r="B27" s="118"/>
      <c r="C27" s="117"/>
      <c r="D27" s="130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25"/>
    </row>
    <row r="28" spans="1:18">
      <c r="A28" s="118"/>
      <c r="B28" s="118"/>
      <c r="C28" s="117"/>
      <c r="D28" s="130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25"/>
    </row>
    <row r="29" spans="1:18">
      <c r="A29" s="118"/>
      <c r="B29" s="118"/>
      <c r="C29" s="117"/>
      <c r="D29" s="130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25"/>
    </row>
    <row r="30" spans="1:18">
      <c r="A30" s="118"/>
      <c r="B30" s="118"/>
      <c r="C30" s="117"/>
      <c r="D30" s="130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25"/>
    </row>
    <row r="31" spans="1:18">
      <c r="A31" s="121"/>
      <c r="B31" s="121"/>
      <c r="C31" s="122"/>
      <c r="D31" s="130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25"/>
    </row>
    <row r="32" spans="1:18">
      <c r="A32" s="121"/>
      <c r="B32" s="121"/>
      <c r="C32" s="122"/>
      <c r="D32" s="130"/>
      <c r="E32" s="115"/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5"/>
      <c r="Q32" s="115"/>
      <c r="R32" s="125"/>
    </row>
    <row r="33" spans="1:18">
      <c r="A33" s="121"/>
      <c r="B33" s="121"/>
      <c r="C33" s="130"/>
      <c r="D33" s="130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25"/>
    </row>
    <row r="34" spans="1:18">
      <c r="A34" s="121"/>
      <c r="B34" s="121"/>
      <c r="C34" s="122"/>
      <c r="D34" s="130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25"/>
    </row>
    <row r="35" spans="1:18">
      <c r="A35" s="121"/>
      <c r="B35" s="121"/>
      <c r="C35" s="122"/>
      <c r="D35" s="130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25"/>
    </row>
    <row r="36" spans="1:18">
      <c r="A36" s="121"/>
      <c r="B36" s="121"/>
      <c r="C36" s="122"/>
      <c r="D36" s="130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25"/>
    </row>
    <row r="37" spans="1:18">
      <c r="A37" s="121"/>
      <c r="B37" s="121"/>
      <c r="C37" s="122"/>
      <c r="D37" s="130"/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25"/>
    </row>
    <row r="38" spans="1:18">
      <c r="A38" s="121"/>
      <c r="B38" s="17"/>
      <c r="C38" s="122"/>
      <c r="D38" s="130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25"/>
    </row>
    <row r="39" spans="1:18">
      <c r="A39" s="121"/>
      <c r="B39" s="17"/>
      <c r="C39" s="122"/>
      <c r="D39" s="122"/>
      <c r="E39" s="115"/>
      <c r="F39" s="115"/>
      <c r="G39" s="115"/>
      <c r="H39" s="115"/>
      <c r="I39" s="115"/>
      <c r="J39" s="115"/>
      <c r="K39" s="115"/>
      <c r="L39" s="115"/>
      <c r="M39" s="115"/>
      <c r="N39" s="115"/>
      <c r="O39" s="115"/>
      <c r="P39" s="115"/>
      <c r="Q39" s="115"/>
      <c r="R39" s="125"/>
    </row>
    <row r="40" spans="1:18">
      <c r="A40" s="121"/>
      <c r="B40" s="17"/>
      <c r="C40" s="122"/>
      <c r="D40" s="130"/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25"/>
    </row>
    <row r="41" spans="1:18">
      <c r="A41" s="121"/>
      <c r="B41" s="17"/>
      <c r="C41" s="122"/>
      <c r="D41" s="130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25"/>
    </row>
    <row r="42" spans="1:18">
      <c r="A42" s="121"/>
      <c r="B42" s="17"/>
      <c r="C42" s="122"/>
      <c r="D42" s="130"/>
      <c r="E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25"/>
    </row>
    <row r="43" spans="1:18">
      <c r="A43" s="121"/>
      <c r="B43" s="17"/>
      <c r="C43" s="122"/>
      <c r="D43" s="130"/>
      <c r="E43" s="115"/>
      <c r="F43" s="115"/>
      <c r="G43" s="115"/>
      <c r="H43" s="115"/>
      <c r="I43" s="115"/>
      <c r="J43" s="115"/>
      <c r="K43" s="115"/>
      <c r="L43" s="115"/>
      <c r="M43" s="115"/>
      <c r="N43" s="115"/>
      <c r="O43" s="115"/>
      <c r="P43" s="115"/>
      <c r="Q43" s="115"/>
      <c r="R43" s="125"/>
    </row>
    <row r="44" spans="1:18">
      <c r="A44" s="121"/>
      <c r="B44" s="17"/>
      <c r="C44" s="122"/>
      <c r="D44" s="130"/>
      <c r="E44" s="115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25"/>
    </row>
    <row r="45" spans="1:18">
      <c r="A45" s="17"/>
      <c r="B45" s="17"/>
      <c r="C45" s="117"/>
      <c r="D45" s="117"/>
      <c r="E45" s="115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25"/>
    </row>
    <row r="46" spans="1:18">
      <c r="A46" s="118"/>
      <c r="B46" s="118"/>
      <c r="C46" s="117"/>
      <c r="D46" s="119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25"/>
    </row>
  </sheetData>
  <conditionalFormatting sqref="A47:A1048576">
    <cfRule type="duplicateValues" dxfId="7" priority="5"/>
  </conditionalFormatting>
  <conditionalFormatting sqref="A45:A46 A1:A16">
    <cfRule type="duplicateValues" dxfId="6" priority="3"/>
  </conditionalFormatting>
  <conditionalFormatting sqref="A19">
    <cfRule type="duplicateValues" dxfId="5" priority="2"/>
  </conditionalFormatting>
  <conditionalFormatting sqref="A22:A27">
    <cfRule type="duplicateValues" dxfId="4" priority="1"/>
  </conditionalFormatting>
  <conditionalFormatting sqref="A17:A18 A20:A21 A28:A44">
    <cfRule type="duplicateValues" dxfId="3" priority="4"/>
  </conditionalFormatting>
  <pageMargins left="0.78750000000000009" right="0.78750000000000009" top="1.05277777777778" bottom="1.05277777777778" header="0.78750000000000009" footer="0.78750000000000009"/>
  <pageSetup paperSize="9" firstPageNumber="2147483648" orientation="portrait" horizontalDpi="300" verticalDpi="300" r:id="rId1"/>
  <headerFooter>
    <oddHeader>&amp;C&amp;"Times New Roman,Normal"&amp;12&amp;A</oddHeader>
    <oddFooter>&amp;C&amp;"Times New Roman,Normal"&amp;12Page &amp;P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'2_sensor'!$A$2:$A$35</xm:f>
          </x14:formula1>
          <xm:sqref>E2:Q56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rgb="FFC00000"/>
  </sheetPr>
  <dimension ref="A1:G19"/>
  <sheetViews>
    <sheetView zoomScale="90" zoomScaleNormal="90" workbookViewId="0">
      <pane xSplit="1" topLeftCell="B1" activePane="topRight" state="frozen"/>
      <selection pane="topRight" activeCell="K6" sqref="K6"/>
    </sheetView>
  </sheetViews>
  <sheetFormatPr baseColWidth="10" defaultColWidth="11.5703125" defaultRowHeight="15"/>
  <cols>
    <col min="1" max="1" width="50.85546875" style="96" bestFit="1" customWidth="1"/>
    <col min="2" max="2" width="73.5703125" style="96" bestFit="1" customWidth="1"/>
    <col min="3" max="3" width="32.7109375" style="96" bestFit="1" customWidth="1"/>
    <col min="4" max="4" width="25.140625" style="96" bestFit="1" customWidth="1"/>
    <col min="5" max="5" width="26.7109375" style="96" bestFit="1" customWidth="1"/>
    <col min="6" max="6" width="63.140625" style="96" bestFit="1" customWidth="1"/>
    <col min="7" max="7" width="16.85546875" style="96" bestFit="1" customWidth="1"/>
    <col min="8" max="16384" width="11.5703125" style="96"/>
  </cols>
  <sheetData>
    <row r="1" spans="1:7" ht="48.75" customHeight="1">
      <c r="A1" s="91" t="s">
        <v>22</v>
      </c>
      <c r="B1" s="91" t="s">
        <v>54</v>
      </c>
      <c r="C1" s="91" t="s">
        <v>23</v>
      </c>
      <c r="D1" s="91" t="s">
        <v>55</v>
      </c>
      <c r="E1" s="91" t="s">
        <v>56</v>
      </c>
      <c r="F1" s="91" t="s">
        <v>57</v>
      </c>
      <c r="G1" s="91" t="s">
        <v>237</v>
      </c>
    </row>
    <row r="2" spans="1:7">
      <c r="A2" s="96" t="s">
        <v>245</v>
      </c>
      <c r="B2" s="96" t="s">
        <v>58</v>
      </c>
      <c r="C2" s="96" t="s">
        <v>463</v>
      </c>
      <c r="D2" s="96" t="s">
        <v>3</v>
      </c>
      <c r="E2" s="96" t="s">
        <v>4</v>
      </c>
      <c r="F2" s="96" t="s">
        <v>59</v>
      </c>
      <c r="G2" s="96" t="s">
        <v>221</v>
      </c>
    </row>
    <row r="3" spans="1:7">
      <c r="A3" s="96" t="s">
        <v>229</v>
      </c>
      <c r="B3" s="96" t="s">
        <v>58</v>
      </c>
      <c r="C3" s="96" t="s">
        <v>463</v>
      </c>
      <c r="D3" s="96" t="s">
        <v>3</v>
      </c>
      <c r="E3" s="96" t="s">
        <v>4</v>
      </c>
      <c r="F3" s="96" t="s">
        <v>59</v>
      </c>
      <c r="G3" s="96" t="s">
        <v>221</v>
      </c>
    </row>
    <row r="4" spans="1:7">
      <c r="A4" s="96" t="s">
        <v>230</v>
      </c>
      <c r="B4" s="96" t="s">
        <v>58</v>
      </c>
      <c r="C4" s="96" t="s">
        <v>464</v>
      </c>
      <c r="D4" s="96" t="s">
        <v>61</v>
      </c>
      <c r="E4" s="96" t="s">
        <v>7</v>
      </c>
      <c r="F4" s="96" t="s">
        <v>5</v>
      </c>
      <c r="G4" s="96" t="s">
        <v>221</v>
      </c>
    </row>
    <row r="5" spans="1:7">
      <c r="A5" s="96" t="s">
        <v>231</v>
      </c>
      <c r="B5" s="96" t="s">
        <v>58</v>
      </c>
      <c r="C5" s="96" t="s">
        <v>465</v>
      </c>
      <c r="D5" s="96" t="s">
        <v>9</v>
      </c>
      <c r="E5" s="96" t="s">
        <v>10</v>
      </c>
      <c r="F5" s="96" t="s">
        <v>60</v>
      </c>
      <c r="G5" s="96" t="s">
        <v>221</v>
      </c>
    </row>
    <row r="6" spans="1:7">
      <c r="A6" s="96" t="s">
        <v>246</v>
      </c>
      <c r="B6" s="96" t="s">
        <v>58</v>
      </c>
      <c r="C6" s="96" t="s">
        <v>464</v>
      </c>
      <c r="D6" s="96" t="s">
        <v>61</v>
      </c>
      <c r="E6" s="96" t="s">
        <v>7</v>
      </c>
      <c r="F6" s="96" t="s">
        <v>5</v>
      </c>
      <c r="G6" s="96" t="s">
        <v>221</v>
      </c>
    </row>
    <row r="7" spans="1:7">
      <c r="A7" s="96" t="s">
        <v>232</v>
      </c>
      <c r="B7" s="96" t="s">
        <v>58</v>
      </c>
      <c r="C7" s="96" t="s">
        <v>463</v>
      </c>
      <c r="D7" s="96" t="s">
        <v>3</v>
      </c>
      <c r="E7" s="96" t="s">
        <v>4</v>
      </c>
      <c r="F7" s="96" t="s">
        <v>59</v>
      </c>
      <c r="G7" s="96" t="s">
        <v>221</v>
      </c>
    </row>
    <row r="8" spans="1:7">
      <c r="A8" s="96" t="s">
        <v>414</v>
      </c>
      <c r="B8" s="96" t="s">
        <v>58</v>
      </c>
      <c r="C8" s="96" t="s">
        <v>463</v>
      </c>
      <c r="D8" s="96" t="s">
        <v>3</v>
      </c>
      <c r="E8" s="96" t="s">
        <v>4</v>
      </c>
      <c r="F8" s="96" t="s">
        <v>59</v>
      </c>
      <c r="G8" s="96" t="s">
        <v>221</v>
      </c>
    </row>
    <row r="9" spans="1:7">
      <c r="A9" s="96" t="s">
        <v>415</v>
      </c>
      <c r="B9" s="96" t="s">
        <v>58</v>
      </c>
      <c r="C9" s="96" t="s">
        <v>466</v>
      </c>
      <c r="D9" s="96" t="s">
        <v>3</v>
      </c>
      <c r="E9" s="96" t="s">
        <v>4</v>
      </c>
      <c r="F9" s="96" t="s">
        <v>59</v>
      </c>
      <c r="G9" s="96" t="s">
        <v>222</v>
      </c>
    </row>
    <row r="10" spans="1:7">
      <c r="A10" s="96" t="s">
        <v>416</v>
      </c>
      <c r="B10" s="96" t="s">
        <v>58</v>
      </c>
      <c r="C10" s="96" t="s">
        <v>467</v>
      </c>
      <c r="D10" s="96" t="s">
        <v>61</v>
      </c>
      <c r="E10" s="96" t="s">
        <v>7</v>
      </c>
      <c r="F10" s="96" t="s">
        <v>5</v>
      </c>
      <c r="G10" s="96" t="s">
        <v>222</v>
      </c>
    </row>
    <row r="11" spans="1:7">
      <c r="A11" s="96" t="s">
        <v>417</v>
      </c>
      <c r="B11" s="96" t="s">
        <v>58</v>
      </c>
      <c r="C11" s="96" t="s">
        <v>468</v>
      </c>
      <c r="D11" s="96" t="s">
        <v>9</v>
      </c>
      <c r="E11" s="96" t="s">
        <v>10</v>
      </c>
      <c r="F11" s="96" t="s">
        <v>60</v>
      </c>
      <c r="G11" s="96" t="s">
        <v>222</v>
      </c>
    </row>
    <row r="12" spans="1:7">
      <c r="A12" s="96" t="s">
        <v>233</v>
      </c>
      <c r="B12" s="96" t="s">
        <v>58</v>
      </c>
      <c r="C12" s="96" t="s">
        <v>469</v>
      </c>
      <c r="D12" s="96" t="s">
        <v>12</v>
      </c>
      <c r="E12" s="96" t="s">
        <v>13</v>
      </c>
      <c r="F12" s="96" t="s">
        <v>47</v>
      </c>
      <c r="G12" s="96" t="s">
        <v>222</v>
      </c>
    </row>
    <row r="13" spans="1:7">
      <c r="A13" s="96" t="s">
        <v>234</v>
      </c>
      <c r="B13" s="96" t="s">
        <v>58</v>
      </c>
      <c r="C13" s="96" t="s">
        <v>467</v>
      </c>
      <c r="D13" s="96" t="s">
        <v>61</v>
      </c>
      <c r="E13" s="96" t="s">
        <v>7</v>
      </c>
      <c r="F13" s="96" t="s">
        <v>5</v>
      </c>
      <c r="G13" s="96" t="s">
        <v>222</v>
      </c>
    </row>
    <row r="14" spans="1:7">
      <c r="A14" s="96" t="s">
        <v>235</v>
      </c>
      <c r="B14" s="96" t="s">
        <v>58</v>
      </c>
      <c r="C14" s="96" t="s">
        <v>467</v>
      </c>
      <c r="D14" s="96" t="s">
        <v>61</v>
      </c>
      <c r="E14" s="96" t="s">
        <v>7</v>
      </c>
      <c r="F14" s="96" t="s">
        <v>5</v>
      </c>
      <c r="G14" s="96" t="s">
        <v>222</v>
      </c>
    </row>
    <row r="15" spans="1:7">
      <c r="A15" s="96" t="s">
        <v>418</v>
      </c>
      <c r="B15" s="96" t="s">
        <v>58</v>
      </c>
      <c r="C15" s="96" t="s">
        <v>466</v>
      </c>
      <c r="D15" s="96" t="s">
        <v>3</v>
      </c>
      <c r="E15" s="96" t="s">
        <v>4</v>
      </c>
      <c r="F15" s="96" t="s">
        <v>59</v>
      </c>
      <c r="G15" s="96" t="s">
        <v>222</v>
      </c>
    </row>
    <row r="16" spans="1:7">
      <c r="A16" s="96" t="s">
        <v>236</v>
      </c>
      <c r="B16" s="96" t="s">
        <v>58</v>
      </c>
      <c r="C16" s="96" t="s">
        <v>467</v>
      </c>
      <c r="D16" s="96" t="s">
        <v>61</v>
      </c>
      <c r="E16" s="96" t="s">
        <v>7</v>
      </c>
      <c r="F16" s="96" t="s">
        <v>5</v>
      </c>
      <c r="G16" s="96" t="s">
        <v>222</v>
      </c>
    </row>
    <row r="17" spans="1:7">
      <c r="A17" s="96" t="s">
        <v>419</v>
      </c>
      <c r="B17" s="96" t="s">
        <v>58</v>
      </c>
      <c r="C17" s="96" t="s">
        <v>470</v>
      </c>
      <c r="D17" s="96" t="s">
        <v>12</v>
      </c>
      <c r="E17" s="96" t="s">
        <v>13</v>
      </c>
      <c r="F17" s="96" t="s">
        <v>48</v>
      </c>
      <c r="G17" s="96" t="s">
        <v>222</v>
      </c>
    </row>
    <row r="18" spans="1:7">
      <c r="A18" s="96" t="s">
        <v>420</v>
      </c>
      <c r="B18" s="96" t="s">
        <v>58</v>
      </c>
      <c r="C18" s="96" t="s">
        <v>471</v>
      </c>
      <c r="D18" s="96" t="s">
        <v>12</v>
      </c>
      <c r="E18" s="96" t="s">
        <v>13</v>
      </c>
      <c r="F18" s="96" t="s">
        <v>48</v>
      </c>
      <c r="G18" s="96" t="s">
        <v>222</v>
      </c>
    </row>
    <row r="19" spans="1:7">
      <c r="A19" s="96" t="s">
        <v>421</v>
      </c>
      <c r="B19" s="96" t="s">
        <v>58</v>
      </c>
      <c r="C19" s="96" t="s">
        <v>472</v>
      </c>
      <c r="D19" s="96" t="s">
        <v>268</v>
      </c>
      <c r="E19" s="96" t="s">
        <v>269</v>
      </c>
      <c r="F19" s="96" t="s">
        <v>270</v>
      </c>
      <c r="G19" s="96" t="s">
        <v>222</v>
      </c>
    </row>
  </sheetData>
  <sortState ref="A2:F17">
    <sortCondition ref="A1"/>
  </sortState>
  <dataConsolidate/>
  <conditionalFormatting sqref="A1:A1048576">
    <cfRule type="duplicateValues" dxfId="2" priority="9"/>
  </conditionalFormatting>
  <conditionalFormatting sqref="C1:C1048576">
    <cfRule type="duplicateValues" dxfId="1" priority="1"/>
  </conditionalFormatting>
  <pageMargins left="0.78750000000000009" right="0.78750000000000009" top="1.05277777777778" bottom="1.05277777777778" header="0.78750000000000009" footer="0.78750000000000009"/>
  <pageSetup paperSize="9" firstPageNumber="2147483648" orientation="portrait" horizontalDpi="300" verticalDpi="300" r:id="rId1"/>
  <headerFooter>
    <oddHeader>&amp;C&amp;"Times New Roman,Normal"&amp;12&amp;A</oddHeader>
    <oddFooter>&amp;C&amp;"Times New Roman,Normal"&amp;12Page &amp;P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0</xdr:col>
                <xdr:colOff>1885950</xdr:colOff>
                <xdr:row>0</xdr:row>
                <xdr:rowOff>85725</xdr:rowOff>
              </from>
              <to>
                <xdr:col>0</xdr:col>
                <xdr:colOff>3295650</xdr:colOff>
                <xdr:row>0</xdr:row>
                <xdr:rowOff>523875</xdr:rowOff>
              </to>
            </anchor>
          </controlPr>
        </control>
      </mc:Choice>
      <mc:Fallback>
        <control shapeId="512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>
          <x14:formula1>
            <xm:f>'observation type'!$B$2:$B$6</xm:f>
          </x14:formula1>
          <xm:sqref>B2:B18</xm:sqref>
        </x14:dataValidation>
        <x14:dataValidation type="list" errorStyle="warning" allowBlank="1" showInputMessage="1" showErrorMessage="1">
          <x14:formula1>
            <xm:f>'5_featureOfInterest'!$A$2:$A$26</xm:f>
          </x14:formula1>
          <xm:sqref>G2:G36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rgb="FFC00000"/>
  </sheetPr>
  <dimension ref="A1:Q50"/>
  <sheetViews>
    <sheetView topLeftCell="A14" workbookViewId="0">
      <selection activeCell="G40" sqref="G40"/>
    </sheetView>
  </sheetViews>
  <sheetFormatPr baseColWidth="10" defaultColWidth="11.42578125" defaultRowHeight="15"/>
  <cols>
    <col min="1" max="1" width="16.85546875" style="133" customWidth="1"/>
    <col min="2" max="2" width="32" style="133" customWidth="1"/>
    <col min="3" max="3" width="13.140625" style="133" bestFit="1" customWidth="1"/>
    <col min="4" max="4" width="27.140625" style="137" customWidth="1"/>
    <col min="5" max="16384" width="11.42578125" style="133"/>
  </cols>
  <sheetData>
    <row r="1" spans="1:17">
      <c r="A1" s="131" t="s">
        <v>22</v>
      </c>
      <c r="B1" s="131" t="s">
        <v>23</v>
      </c>
      <c r="C1" s="131" t="s">
        <v>196</v>
      </c>
      <c r="D1" s="132" t="s">
        <v>197</v>
      </c>
    </row>
    <row r="2" spans="1:17">
      <c r="A2" s="134" t="s">
        <v>221</v>
      </c>
      <c r="B2" s="134" t="s">
        <v>21</v>
      </c>
      <c r="C2" s="141" t="s">
        <v>489</v>
      </c>
      <c r="D2" s="135" t="s">
        <v>238</v>
      </c>
    </row>
    <row r="3" spans="1:17" ht="22.9" customHeight="1">
      <c r="A3" s="134" t="s">
        <v>222</v>
      </c>
      <c r="B3" s="134" t="s">
        <v>24</v>
      </c>
      <c r="C3" s="141" t="s">
        <v>489</v>
      </c>
      <c r="D3" s="135" t="s">
        <v>202</v>
      </c>
      <c r="P3" s="133" t="s">
        <v>349</v>
      </c>
      <c r="Q3" s="133" t="s">
        <v>345</v>
      </c>
    </row>
    <row r="4" spans="1:17">
      <c r="A4" s="134" t="s">
        <v>356</v>
      </c>
      <c r="B4" s="134" t="s">
        <v>357</v>
      </c>
      <c r="C4" s="141" t="s">
        <v>489</v>
      </c>
      <c r="D4" s="135" t="s">
        <v>358</v>
      </c>
    </row>
    <row r="5" spans="1:17">
      <c r="A5" s="134" t="s">
        <v>359</v>
      </c>
      <c r="B5" s="134" t="s">
        <v>357</v>
      </c>
      <c r="C5" s="141" t="s">
        <v>489</v>
      </c>
      <c r="D5" s="136" t="s">
        <v>360</v>
      </c>
    </row>
    <row r="6" spans="1:17">
      <c r="A6" s="134" t="s">
        <v>361</v>
      </c>
      <c r="B6" s="134" t="s">
        <v>357</v>
      </c>
      <c r="C6" s="141" t="s">
        <v>489</v>
      </c>
      <c r="D6" s="135" t="s">
        <v>362</v>
      </c>
    </row>
    <row r="7" spans="1:17">
      <c r="A7" s="134" t="s">
        <v>363</v>
      </c>
      <c r="B7" s="134" t="s">
        <v>357</v>
      </c>
      <c r="C7" s="141" t="s">
        <v>489</v>
      </c>
      <c r="D7" s="135" t="s">
        <v>364</v>
      </c>
    </row>
    <row r="8" spans="1:17">
      <c r="A8" s="134" t="s">
        <v>365</v>
      </c>
      <c r="B8" s="134" t="s">
        <v>357</v>
      </c>
      <c r="C8" s="141" t="s">
        <v>489</v>
      </c>
      <c r="D8" s="135" t="s">
        <v>366</v>
      </c>
    </row>
    <row r="9" spans="1:17">
      <c r="A9" s="134" t="s">
        <v>367</v>
      </c>
      <c r="B9" s="134" t="s">
        <v>357</v>
      </c>
      <c r="C9" s="141" t="s">
        <v>489</v>
      </c>
      <c r="D9" s="135" t="s">
        <v>368</v>
      </c>
    </row>
    <row r="10" spans="1:17">
      <c r="A10" s="134" t="s">
        <v>369</v>
      </c>
      <c r="B10" s="134" t="s">
        <v>370</v>
      </c>
      <c r="C10" s="141" t="s">
        <v>489</v>
      </c>
      <c r="D10" s="135" t="s">
        <v>371</v>
      </c>
    </row>
    <row r="11" spans="1:17">
      <c r="A11" s="134" t="s">
        <v>372</v>
      </c>
      <c r="B11" s="134" t="s">
        <v>370</v>
      </c>
      <c r="C11" s="141" t="s">
        <v>489</v>
      </c>
      <c r="D11" s="135" t="s">
        <v>373</v>
      </c>
    </row>
    <row r="12" spans="1:17">
      <c r="A12" s="134" t="s">
        <v>374</v>
      </c>
      <c r="B12" s="134" t="s">
        <v>370</v>
      </c>
      <c r="C12" s="141" t="s">
        <v>489</v>
      </c>
      <c r="D12" s="135" t="s">
        <v>375</v>
      </c>
    </row>
    <row r="13" spans="1:17">
      <c r="A13" s="134" t="s">
        <v>376</v>
      </c>
      <c r="B13" s="134" t="s">
        <v>370</v>
      </c>
      <c r="C13" s="141" t="s">
        <v>489</v>
      </c>
      <c r="D13" s="135" t="s">
        <v>377</v>
      </c>
    </row>
    <row r="14" spans="1:17">
      <c r="A14" s="134" t="s">
        <v>378</v>
      </c>
      <c r="B14" s="134" t="s">
        <v>370</v>
      </c>
      <c r="C14" s="141" t="s">
        <v>489</v>
      </c>
      <c r="D14" s="135" t="s">
        <v>379</v>
      </c>
    </row>
    <row r="15" spans="1:17">
      <c r="A15" s="134" t="s">
        <v>380</v>
      </c>
      <c r="B15" s="134" t="s">
        <v>370</v>
      </c>
      <c r="C15" s="141" t="s">
        <v>489</v>
      </c>
      <c r="D15" s="135" t="s">
        <v>381</v>
      </c>
    </row>
    <row r="16" spans="1:17">
      <c r="A16" s="134" t="s">
        <v>382</v>
      </c>
      <c r="B16" s="134" t="s">
        <v>383</v>
      </c>
      <c r="C16" s="141" t="s">
        <v>489</v>
      </c>
      <c r="D16" s="135" t="s">
        <v>384</v>
      </c>
    </row>
    <row r="17" spans="1:4">
      <c r="A17" s="134" t="s">
        <v>385</v>
      </c>
      <c r="B17" s="134" t="s">
        <v>386</v>
      </c>
      <c r="C17" s="141" t="s">
        <v>489</v>
      </c>
      <c r="D17" s="135" t="s">
        <v>387</v>
      </c>
    </row>
    <row r="18" spans="1:4">
      <c r="A18" s="134" t="s">
        <v>388</v>
      </c>
      <c r="B18" s="134" t="s">
        <v>389</v>
      </c>
      <c r="C18" s="141" t="s">
        <v>489</v>
      </c>
      <c r="D18" s="135" t="s">
        <v>478</v>
      </c>
    </row>
    <row r="19" spans="1:4">
      <c r="A19" s="134" t="s">
        <v>390</v>
      </c>
      <c r="B19" s="134" t="s">
        <v>391</v>
      </c>
      <c r="C19" s="141" t="s">
        <v>489</v>
      </c>
      <c r="D19" s="135" t="s">
        <v>479</v>
      </c>
    </row>
    <row r="20" spans="1:4">
      <c r="A20" s="134" t="s">
        <v>392</v>
      </c>
      <c r="B20" s="134" t="s">
        <v>393</v>
      </c>
      <c r="C20" s="141" t="s">
        <v>489</v>
      </c>
      <c r="D20" s="135" t="s">
        <v>480</v>
      </c>
    </row>
    <row r="21" spans="1:4">
      <c r="A21" s="134" t="s">
        <v>394</v>
      </c>
      <c r="B21" s="134" t="s">
        <v>395</v>
      </c>
      <c r="C21" s="141" t="s">
        <v>489</v>
      </c>
      <c r="D21" s="135" t="s">
        <v>481</v>
      </c>
    </row>
    <row r="22" spans="1:4">
      <c r="A22" s="134" t="s">
        <v>396</v>
      </c>
      <c r="B22" s="134" t="s">
        <v>397</v>
      </c>
      <c r="C22" s="141" t="s">
        <v>489</v>
      </c>
      <c r="D22" s="135" t="s">
        <v>482</v>
      </c>
    </row>
    <row r="23" spans="1:4">
      <c r="A23" s="134" t="s">
        <v>398</v>
      </c>
      <c r="B23" s="134" t="s">
        <v>399</v>
      </c>
      <c r="C23" s="141" t="s">
        <v>489</v>
      </c>
      <c r="D23" s="135" t="s">
        <v>483</v>
      </c>
    </row>
    <row r="24" spans="1:4">
      <c r="A24" s="134" t="s">
        <v>400</v>
      </c>
      <c r="B24" s="134" t="s">
        <v>401</v>
      </c>
      <c r="C24" s="141" t="s">
        <v>489</v>
      </c>
      <c r="D24" s="135" t="s">
        <v>484</v>
      </c>
    </row>
    <row r="25" spans="1:4">
      <c r="A25" s="134" t="s">
        <v>402</v>
      </c>
      <c r="B25" s="134" t="s">
        <v>403</v>
      </c>
      <c r="C25" s="141" t="s">
        <v>489</v>
      </c>
      <c r="D25" s="135" t="s">
        <v>485</v>
      </c>
    </row>
    <row r="26" spans="1:4">
      <c r="A26" s="134" t="s">
        <v>404</v>
      </c>
      <c r="B26" s="134" t="s">
        <v>405</v>
      </c>
      <c r="C26" s="141" t="s">
        <v>489</v>
      </c>
      <c r="D26" s="135" t="s">
        <v>486</v>
      </c>
    </row>
    <row r="27" spans="1:4">
      <c r="A27" s="134" t="s">
        <v>406</v>
      </c>
      <c r="B27" s="134" t="s">
        <v>407</v>
      </c>
      <c r="C27" s="141" t="s">
        <v>489</v>
      </c>
      <c r="D27" s="135" t="s">
        <v>462</v>
      </c>
    </row>
    <row r="28" spans="1:4">
      <c r="A28" s="134" t="s">
        <v>408</v>
      </c>
      <c r="B28" s="134" t="s">
        <v>409</v>
      </c>
      <c r="C28" s="141" t="s">
        <v>489</v>
      </c>
      <c r="D28" s="135" t="s">
        <v>461</v>
      </c>
    </row>
    <row r="29" spans="1:4">
      <c r="A29" s="134" t="s">
        <v>410</v>
      </c>
      <c r="B29" s="134" t="s">
        <v>411</v>
      </c>
      <c r="C29" s="141" t="s">
        <v>489</v>
      </c>
      <c r="D29" s="135" t="s">
        <v>460</v>
      </c>
    </row>
    <row r="30" spans="1:4">
      <c r="A30" s="134" t="s">
        <v>412</v>
      </c>
      <c r="B30" s="134" t="s">
        <v>413</v>
      </c>
      <c r="C30" s="141" t="s">
        <v>489</v>
      </c>
      <c r="D30" s="135" t="s">
        <v>459</v>
      </c>
    </row>
    <row r="31" spans="1:4">
      <c r="A31" s="134" t="s">
        <v>425</v>
      </c>
      <c r="B31" s="134" t="s">
        <v>429</v>
      </c>
      <c r="C31" s="141" t="s">
        <v>489</v>
      </c>
      <c r="D31" s="135" t="s">
        <v>458</v>
      </c>
    </row>
    <row r="32" spans="1:4">
      <c r="A32" s="134" t="s">
        <v>426</v>
      </c>
      <c r="B32" s="134" t="s">
        <v>429</v>
      </c>
      <c r="C32" s="141" t="s">
        <v>489</v>
      </c>
      <c r="D32" s="135" t="s">
        <v>458</v>
      </c>
    </row>
    <row r="33" spans="1:4">
      <c r="A33" s="134" t="s">
        <v>427</v>
      </c>
      <c r="B33" s="134" t="s">
        <v>429</v>
      </c>
      <c r="C33" s="141" t="s">
        <v>489</v>
      </c>
      <c r="D33" s="135" t="s">
        <v>457</v>
      </c>
    </row>
    <row r="34" spans="1:4">
      <c r="A34" s="134" t="s">
        <v>428</v>
      </c>
      <c r="B34" s="134" t="s">
        <v>429</v>
      </c>
      <c r="C34" s="141" t="s">
        <v>489</v>
      </c>
      <c r="D34" s="135" t="s">
        <v>456</v>
      </c>
    </row>
    <row r="35" spans="1:4">
      <c r="A35" s="134" t="s">
        <v>435</v>
      </c>
      <c r="B35" s="134" t="s">
        <v>429</v>
      </c>
      <c r="C35" s="141" t="s">
        <v>489</v>
      </c>
      <c r="D35" s="135" t="s">
        <v>455</v>
      </c>
    </row>
    <row r="36" spans="1:4">
      <c r="A36" s="134" t="s">
        <v>436</v>
      </c>
      <c r="B36" s="134" t="s">
        <v>429</v>
      </c>
      <c r="C36" s="141" t="s">
        <v>489</v>
      </c>
      <c r="D36" s="135" t="s">
        <v>454</v>
      </c>
    </row>
    <row r="37" spans="1:4">
      <c r="A37" s="134" t="s">
        <v>437</v>
      </c>
      <c r="B37" s="134" t="s">
        <v>429</v>
      </c>
      <c r="C37" s="141" t="s">
        <v>489</v>
      </c>
      <c r="D37" s="135" t="s">
        <v>453</v>
      </c>
    </row>
    <row r="38" spans="1:4">
      <c r="A38" s="134" t="s">
        <v>434</v>
      </c>
      <c r="B38" s="134" t="s">
        <v>191</v>
      </c>
      <c r="C38" s="141" t="s">
        <v>489</v>
      </c>
      <c r="D38" s="135" t="s">
        <v>452</v>
      </c>
    </row>
    <row r="39" spans="1:4">
      <c r="A39" s="134" t="s">
        <v>438</v>
      </c>
      <c r="B39" s="134" t="s">
        <v>191</v>
      </c>
      <c r="C39" s="141" t="s">
        <v>489</v>
      </c>
      <c r="D39" s="135" t="s">
        <v>487</v>
      </c>
    </row>
    <row r="40" spans="1:4">
      <c r="A40" s="134" t="s">
        <v>439</v>
      </c>
      <c r="B40" s="134" t="s">
        <v>191</v>
      </c>
      <c r="C40" s="141" t="s">
        <v>489</v>
      </c>
      <c r="D40" s="135" t="s">
        <v>451</v>
      </c>
    </row>
    <row r="41" spans="1:4">
      <c r="A41" s="134" t="s">
        <v>433</v>
      </c>
      <c r="B41" s="134" t="s">
        <v>191</v>
      </c>
      <c r="C41" s="141" t="s">
        <v>489</v>
      </c>
      <c r="D41" s="135" t="s">
        <v>450</v>
      </c>
    </row>
    <row r="42" spans="1:4">
      <c r="A42" s="134" t="s">
        <v>432</v>
      </c>
      <c r="B42" s="134" t="s">
        <v>191</v>
      </c>
      <c r="C42" s="141" t="s">
        <v>489</v>
      </c>
      <c r="D42" s="135" t="s">
        <v>449</v>
      </c>
    </row>
    <row r="43" spans="1:4">
      <c r="A43" s="134" t="s">
        <v>431</v>
      </c>
      <c r="B43" s="134" t="s">
        <v>191</v>
      </c>
      <c r="C43" s="141" t="s">
        <v>489</v>
      </c>
      <c r="D43" s="135" t="s">
        <v>448</v>
      </c>
    </row>
    <row r="44" spans="1:4">
      <c r="A44" s="134" t="s">
        <v>430</v>
      </c>
      <c r="B44" s="134" t="s">
        <v>191</v>
      </c>
      <c r="C44" s="141" t="s">
        <v>489</v>
      </c>
      <c r="D44" s="135" t="s">
        <v>447</v>
      </c>
    </row>
    <row r="45" spans="1:4">
      <c r="A45" s="134" t="s">
        <v>223</v>
      </c>
      <c r="B45" s="134" t="s">
        <v>191</v>
      </c>
      <c r="C45" s="141" t="s">
        <v>489</v>
      </c>
      <c r="D45" s="135" t="s">
        <v>200</v>
      </c>
    </row>
    <row r="46" spans="1:4">
      <c r="A46" s="134" t="s">
        <v>224</v>
      </c>
      <c r="B46" s="134" t="s">
        <v>191</v>
      </c>
      <c r="C46" s="141" t="s">
        <v>489</v>
      </c>
      <c r="D46" s="135" t="s">
        <v>201</v>
      </c>
    </row>
    <row r="47" spans="1:4">
      <c r="A47" s="134"/>
      <c r="B47" s="134"/>
      <c r="C47" s="134"/>
      <c r="D47" s="135"/>
    </row>
    <row r="48" spans="1:4">
      <c r="A48" s="134"/>
      <c r="B48" s="134"/>
      <c r="C48" s="134"/>
      <c r="D48" s="135"/>
    </row>
    <row r="49" spans="1:4">
      <c r="A49" s="134"/>
      <c r="B49" s="134"/>
      <c r="C49" s="134"/>
      <c r="D49" s="135"/>
    </row>
    <row r="50" spans="1:4">
      <c r="A50" s="134"/>
      <c r="B50" s="134"/>
      <c r="C50" s="134"/>
      <c r="D50" s="135"/>
    </row>
  </sheetData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9"/>
  </sheetPr>
  <dimension ref="A1:C6"/>
  <sheetViews>
    <sheetView workbookViewId="0">
      <selection activeCell="B8" sqref="B8"/>
    </sheetView>
  </sheetViews>
  <sheetFormatPr baseColWidth="10" defaultColWidth="11.42578125" defaultRowHeight="15"/>
  <cols>
    <col min="1" max="1" width="41.7109375" style="19" customWidth="1"/>
    <col min="2" max="2" width="77" style="19" customWidth="1"/>
    <col min="3" max="3" width="32.28515625" style="19" customWidth="1"/>
    <col min="4" max="16384" width="11.42578125" style="19"/>
  </cols>
  <sheetData>
    <row r="1" spans="1:3">
      <c r="A1" s="18" t="s">
        <v>62</v>
      </c>
      <c r="B1" s="18" t="s">
        <v>63</v>
      </c>
      <c r="C1" s="18" t="s">
        <v>64</v>
      </c>
    </row>
    <row r="2" spans="1:3">
      <c r="A2" s="20" t="s">
        <v>65</v>
      </c>
      <c r="B2" s="21" t="s">
        <v>66</v>
      </c>
      <c r="C2" s="20" t="s">
        <v>67</v>
      </c>
    </row>
    <row r="3" spans="1:3">
      <c r="A3" s="20" t="s">
        <v>68</v>
      </c>
      <c r="B3" s="21" t="s">
        <v>69</v>
      </c>
      <c r="C3" s="20" t="s">
        <v>70</v>
      </c>
    </row>
    <row r="4" spans="1:3">
      <c r="A4" s="20" t="s">
        <v>71</v>
      </c>
      <c r="B4" s="21" t="s">
        <v>58</v>
      </c>
      <c r="C4" s="20" t="s">
        <v>72</v>
      </c>
    </row>
    <row r="5" spans="1:3">
      <c r="A5" s="20" t="s">
        <v>73</v>
      </c>
      <c r="B5" s="21" t="s">
        <v>74</v>
      </c>
      <c r="C5" s="20" t="s">
        <v>75</v>
      </c>
    </row>
    <row r="6" spans="1:3">
      <c r="A6" s="20" t="s">
        <v>76</v>
      </c>
      <c r="B6" s="21" t="s">
        <v>77</v>
      </c>
      <c r="C6" s="20" t="s">
        <v>78</v>
      </c>
    </row>
  </sheetData>
  <hyperlinks>
    <hyperlink ref="B4" r:id="rId1"/>
    <hyperlink ref="B2" r:id="rId2"/>
    <hyperlink ref="B3" r:id="rId3"/>
    <hyperlink ref="B5" r:id="rId4"/>
    <hyperlink ref="B6" r:id="rId5"/>
  </hyperlinks>
  <pageMargins left="0.7" right="0.7" top="0.75" bottom="0.75" header="0.3" footer="0.3"/>
  <pageSetup paperSize="9" orientation="portrait" verticalDpi="0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theme="9"/>
  </sheetPr>
  <dimension ref="A1:H49"/>
  <sheetViews>
    <sheetView workbookViewId="0">
      <selection activeCell="C16" sqref="C16"/>
    </sheetView>
  </sheetViews>
  <sheetFormatPr baseColWidth="10" defaultColWidth="11.42578125" defaultRowHeight="15"/>
  <cols>
    <col min="1" max="1" width="33.7109375" style="33" bestFit="1" customWidth="1"/>
    <col min="2" max="2" width="34.5703125" style="33" bestFit="1" customWidth="1"/>
    <col min="3" max="3" width="10.7109375" style="33" bestFit="1" customWidth="1"/>
    <col min="4" max="4" width="11" style="33" bestFit="1" customWidth="1"/>
    <col min="5" max="5" width="6.42578125" style="33" customWidth="1"/>
    <col min="6" max="6" width="15.5703125" style="33" customWidth="1"/>
    <col min="7" max="7" width="10.140625" style="33" bestFit="1" customWidth="1"/>
    <col min="8" max="8" width="15.28515625" style="33" bestFit="1" customWidth="1"/>
    <col min="9" max="16384" width="11.42578125" style="33"/>
  </cols>
  <sheetData>
    <row r="1" spans="1:8">
      <c r="A1" s="32" t="s">
        <v>22</v>
      </c>
      <c r="B1" s="32" t="s">
        <v>23</v>
      </c>
      <c r="C1" s="32" t="s">
        <v>112</v>
      </c>
      <c r="D1" s="32" t="s">
        <v>113</v>
      </c>
      <c r="F1" s="32" t="s">
        <v>114</v>
      </c>
      <c r="G1" s="32" t="s">
        <v>115</v>
      </c>
      <c r="H1" s="32" t="s">
        <v>116</v>
      </c>
    </row>
    <row r="2" spans="1:8">
      <c r="A2" s="34" t="str">
        <f t="shared" ref="A2:A4" si="0">CONCATENATE(G2,"_",H2,"_",F2)</f>
        <v>Kerbernez_Outlet_E37</v>
      </c>
      <c r="B2" s="34"/>
      <c r="C2" s="34" t="s">
        <v>239</v>
      </c>
      <c r="D2" s="34" t="s">
        <v>240</v>
      </c>
      <c r="F2" s="34" t="s">
        <v>117</v>
      </c>
      <c r="G2" s="34" t="s">
        <v>118</v>
      </c>
      <c r="H2" s="34" t="s">
        <v>119</v>
      </c>
    </row>
    <row r="3" spans="1:8">
      <c r="A3" s="34" t="str">
        <f t="shared" si="0"/>
        <v>Kerbernez_Piezometer_F4</v>
      </c>
      <c r="B3" s="34"/>
      <c r="C3" s="34" t="s">
        <v>241</v>
      </c>
      <c r="D3" s="123" t="s">
        <v>242</v>
      </c>
      <c r="F3" s="34" t="s">
        <v>120</v>
      </c>
      <c r="G3" s="34" t="s">
        <v>118</v>
      </c>
      <c r="H3" s="34" t="s">
        <v>121</v>
      </c>
    </row>
    <row r="4" spans="1:8">
      <c r="A4" s="34" t="str">
        <f t="shared" si="0"/>
        <v>Kerbernez_Outlet_E30</v>
      </c>
      <c r="B4" s="34" t="s">
        <v>21</v>
      </c>
      <c r="C4" s="34" t="s">
        <v>243</v>
      </c>
      <c r="D4" s="34" t="s">
        <v>244</v>
      </c>
      <c r="F4" s="34" t="s">
        <v>122</v>
      </c>
      <c r="G4" s="34" t="s">
        <v>118</v>
      </c>
      <c r="H4" s="34" t="s">
        <v>119</v>
      </c>
    </row>
    <row r="5" spans="1:8">
      <c r="A5" s="34"/>
      <c r="B5" s="34"/>
      <c r="C5" s="34"/>
      <c r="D5" s="34"/>
      <c r="F5" s="34"/>
      <c r="G5" s="34"/>
      <c r="H5" s="34"/>
    </row>
    <row r="6" spans="1:8">
      <c r="A6" s="34"/>
      <c r="B6" s="34"/>
      <c r="C6" s="34"/>
      <c r="D6" s="34"/>
      <c r="F6" s="34"/>
      <c r="G6" s="34"/>
      <c r="H6" s="34"/>
    </row>
    <row r="7" spans="1:8">
      <c r="A7" s="34"/>
      <c r="B7" s="34"/>
      <c r="C7" s="34"/>
      <c r="D7" s="34"/>
      <c r="F7" s="34"/>
      <c r="G7" s="34"/>
      <c r="H7" s="34"/>
    </row>
    <row r="8" spans="1:8">
      <c r="A8" s="34"/>
      <c r="B8" s="34"/>
      <c r="C8" s="34"/>
      <c r="D8" s="34"/>
      <c r="F8" s="34"/>
      <c r="G8" s="34"/>
      <c r="H8" s="34"/>
    </row>
    <row r="9" spans="1:8">
      <c r="A9" s="34"/>
      <c r="B9" s="34"/>
      <c r="C9" s="34"/>
      <c r="D9" s="34"/>
      <c r="F9" s="34"/>
      <c r="G9" s="34"/>
      <c r="H9" s="34"/>
    </row>
    <row r="10" spans="1:8">
      <c r="A10" s="34"/>
      <c r="B10" s="34"/>
      <c r="C10" s="34"/>
      <c r="D10" s="34"/>
      <c r="F10" s="34"/>
      <c r="G10" s="34"/>
      <c r="H10" s="34"/>
    </row>
    <row r="11" spans="1:8">
      <c r="A11" s="34"/>
      <c r="B11" s="34"/>
      <c r="C11" s="34"/>
      <c r="D11" s="123"/>
      <c r="F11" s="34"/>
      <c r="G11" s="34"/>
      <c r="H11" s="34"/>
    </row>
    <row r="12" spans="1:8">
      <c r="A12" s="34"/>
      <c r="B12" s="34"/>
      <c r="C12" s="34"/>
      <c r="D12" s="34"/>
      <c r="F12" s="34"/>
      <c r="G12" s="34"/>
      <c r="H12" s="34"/>
    </row>
    <row r="13" spans="1:8">
      <c r="A13" s="34"/>
      <c r="B13" s="34"/>
      <c r="C13" s="34"/>
      <c r="D13" s="34"/>
      <c r="F13" s="34"/>
      <c r="G13" s="34"/>
      <c r="H13" s="34"/>
    </row>
    <row r="14" spans="1:8">
      <c r="A14" s="34"/>
      <c r="B14" s="34"/>
      <c r="C14" s="34"/>
      <c r="D14" s="123"/>
      <c r="F14" s="34"/>
      <c r="G14" s="34"/>
      <c r="H14" s="34"/>
    </row>
    <row r="15" spans="1:8">
      <c r="A15" s="34"/>
      <c r="B15" s="34"/>
      <c r="C15" s="34"/>
      <c r="D15" s="34"/>
      <c r="F15" s="34"/>
      <c r="G15" s="34"/>
      <c r="H15" s="34"/>
    </row>
    <row r="16" spans="1:8">
      <c r="A16" s="34"/>
      <c r="B16" s="34"/>
      <c r="C16" s="34"/>
      <c r="D16" s="34"/>
      <c r="F16" s="34"/>
      <c r="G16" s="34"/>
      <c r="H16" s="34"/>
    </row>
    <row r="17" spans="1:8">
      <c r="A17" s="34"/>
      <c r="B17" s="34"/>
      <c r="C17" s="34"/>
      <c r="D17" s="34"/>
      <c r="F17" s="34"/>
      <c r="G17" s="34"/>
      <c r="H17" s="34"/>
    </row>
    <row r="18" spans="1:8">
      <c r="A18" s="34"/>
      <c r="B18" s="34"/>
      <c r="C18" s="34"/>
      <c r="D18" s="34"/>
      <c r="F18" s="34"/>
      <c r="G18" s="34"/>
      <c r="H18" s="34"/>
    </row>
    <row r="19" spans="1:8">
      <c r="A19" s="34"/>
      <c r="B19" s="34"/>
      <c r="C19" s="34"/>
      <c r="D19" s="34"/>
      <c r="F19" s="34"/>
      <c r="G19" s="34"/>
      <c r="H19" s="34"/>
    </row>
    <row r="20" spans="1:8">
      <c r="A20" s="34"/>
      <c r="B20" s="34"/>
      <c r="C20" s="34"/>
      <c r="D20" s="34"/>
      <c r="F20" s="34"/>
      <c r="G20" s="34"/>
      <c r="H20" s="34"/>
    </row>
    <row r="21" spans="1:8">
      <c r="A21" s="34"/>
      <c r="B21" s="34"/>
      <c r="C21" s="34"/>
      <c r="D21" s="34"/>
      <c r="F21" s="34"/>
      <c r="G21" s="34"/>
      <c r="H21" s="34"/>
    </row>
    <row r="22" spans="1:8">
      <c r="A22" s="34"/>
      <c r="B22" s="34"/>
      <c r="C22" s="34"/>
      <c r="D22" s="34"/>
      <c r="F22" s="34"/>
      <c r="G22" s="34"/>
      <c r="H22" s="34"/>
    </row>
    <row r="23" spans="1:8">
      <c r="A23" s="34"/>
      <c r="B23" s="34"/>
      <c r="C23" s="34"/>
      <c r="D23" s="34"/>
      <c r="F23" s="34"/>
      <c r="G23" s="34"/>
      <c r="H23" s="34"/>
    </row>
    <row r="24" spans="1:8">
      <c r="A24" s="34"/>
      <c r="B24" s="34"/>
      <c r="C24" s="34"/>
      <c r="D24" s="34"/>
      <c r="F24" s="34"/>
      <c r="G24" s="34"/>
      <c r="H24" s="34"/>
    </row>
    <row r="25" spans="1:8">
      <c r="A25" s="34"/>
      <c r="B25" s="34"/>
      <c r="C25" s="34"/>
      <c r="D25" s="34"/>
      <c r="F25" s="34"/>
      <c r="G25" s="34"/>
      <c r="H25" s="34"/>
    </row>
    <row r="26" spans="1:8">
      <c r="A26" s="34"/>
      <c r="B26" s="34"/>
      <c r="C26" s="34"/>
      <c r="D26" s="34"/>
      <c r="F26" s="34"/>
      <c r="G26" s="34"/>
      <c r="H26" s="34"/>
    </row>
    <row r="27" spans="1:8">
      <c r="A27" s="34"/>
      <c r="B27" s="34"/>
      <c r="C27" s="34"/>
      <c r="D27" s="34"/>
      <c r="F27" s="34"/>
      <c r="G27" s="34"/>
      <c r="H27" s="34"/>
    </row>
    <row r="28" spans="1:8">
      <c r="A28" s="34"/>
      <c r="B28" s="34"/>
      <c r="C28" s="34"/>
      <c r="D28" s="34"/>
      <c r="F28" s="34"/>
      <c r="G28" s="34"/>
      <c r="H28" s="34"/>
    </row>
    <row r="29" spans="1:8">
      <c r="A29" s="34"/>
      <c r="B29" s="34"/>
      <c r="C29" s="34"/>
      <c r="D29" s="34"/>
      <c r="F29" s="34"/>
      <c r="G29" s="34"/>
      <c r="H29" s="34"/>
    </row>
    <row r="30" spans="1:8">
      <c r="A30" s="34"/>
      <c r="B30" s="34"/>
      <c r="C30" s="34"/>
      <c r="D30" s="34"/>
      <c r="F30" s="34"/>
      <c r="G30" s="34"/>
      <c r="H30" s="34"/>
    </row>
    <row r="31" spans="1:8">
      <c r="A31" s="34"/>
      <c r="B31" s="34"/>
      <c r="C31" s="34"/>
      <c r="D31" s="123"/>
      <c r="F31" s="34"/>
      <c r="G31" s="34"/>
      <c r="H31" s="34"/>
    </row>
    <row r="32" spans="1:8">
      <c r="A32" s="34"/>
      <c r="B32" s="34"/>
      <c r="C32" s="34"/>
      <c r="D32" s="34"/>
      <c r="F32" s="34"/>
      <c r="G32" s="34"/>
      <c r="H32" s="34"/>
    </row>
    <row r="33" spans="1:8">
      <c r="A33" s="34"/>
      <c r="B33" s="34"/>
      <c r="C33" s="34"/>
      <c r="D33" s="34"/>
      <c r="F33" s="34"/>
      <c r="G33" s="34"/>
      <c r="H33" s="34"/>
    </row>
    <row r="34" spans="1:8">
      <c r="A34" s="34"/>
      <c r="B34" s="34"/>
      <c r="C34" s="34"/>
      <c r="D34" s="34"/>
      <c r="F34" s="34"/>
      <c r="G34" s="34"/>
      <c r="H34" s="34"/>
    </row>
    <row r="35" spans="1:8">
      <c r="A35" s="34"/>
      <c r="B35" s="34"/>
      <c r="C35" s="34"/>
      <c r="D35" s="34"/>
      <c r="F35" s="34"/>
      <c r="G35" s="34"/>
      <c r="H35" s="34"/>
    </row>
    <row r="36" spans="1:8">
      <c r="A36" s="34"/>
      <c r="B36" s="34"/>
      <c r="C36" s="34"/>
      <c r="D36" s="34"/>
      <c r="F36" s="34"/>
      <c r="G36" s="34"/>
      <c r="H36" s="34"/>
    </row>
    <row r="37" spans="1:8">
      <c r="A37" s="34"/>
      <c r="B37" s="34"/>
      <c r="C37" s="34"/>
      <c r="D37" s="34"/>
      <c r="F37" s="34"/>
      <c r="G37" s="34"/>
      <c r="H37" s="34"/>
    </row>
    <row r="38" spans="1:8">
      <c r="A38" s="34"/>
      <c r="B38" s="34"/>
      <c r="C38" s="34"/>
      <c r="D38" s="34"/>
      <c r="F38" s="34"/>
      <c r="G38" s="34"/>
      <c r="H38" s="34"/>
    </row>
    <row r="39" spans="1:8">
      <c r="A39" s="34"/>
      <c r="B39" s="34"/>
      <c r="C39" s="34"/>
      <c r="D39" s="34"/>
      <c r="F39" s="34"/>
      <c r="G39" s="34"/>
      <c r="H39" s="34"/>
    </row>
    <row r="40" spans="1:8">
      <c r="A40" s="34"/>
      <c r="B40" s="34"/>
      <c r="C40" s="34"/>
      <c r="D40" s="34"/>
      <c r="F40" s="34"/>
      <c r="G40" s="34"/>
      <c r="H40" s="34"/>
    </row>
    <row r="41" spans="1:8">
      <c r="A41" s="34"/>
      <c r="B41" s="34"/>
      <c r="C41" s="34"/>
      <c r="D41" s="34"/>
      <c r="F41" s="34"/>
      <c r="G41" s="34"/>
      <c r="H41" s="34"/>
    </row>
    <row r="42" spans="1:8">
      <c r="A42" s="34"/>
      <c r="B42" s="34"/>
      <c r="C42" s="34"/>
      <c r="D42" s="34"/>
      <c r="F42" s="34"/>
      <c r="G42" s="34"/>
      <c r="H42" s="34"/>
    </row>
    <row r="43" spans="1:8">
      <c r="A43" s="34"/>
      <c r="B43" s="34"/>
      <c r="C43" s="34"/>
      <c r="D43" s="34"/>
      <c r="F43" s="34"/>
      <c r="G43" s="34"/>
      <c r="H43" s="34"/>
    </row>
    <row r="44" spans="1:8">
      <c r="A44" s="34"/>
      <c r="B44" s="34"/>
      <c r="C44" s="34"/>
      <c r="D44" s="34"/>
      <c r="F44" s="34"/>
      <c r="G44" s="34"/>
      <c r="H44" s="34"/>
    </row>
    <row r="45" spans="1:8">
      <c r="A45" s="34"/>
      <c r="B45" s="34"/>
      <c r="C45" s="34"/>
      <c r="D45" s="34"/>
      <c r="F45" s="34"/>
      <c r="G45" s="34"/>
      <c r="H45" s="34"/>
    </row>
    <row r="46" spans="1:8">
      <c r="A46" s="34"/>
      <c r="B46" s="34"/>
      <c r="C46" s="34"/>
      <c r="D46" s="34"/>
      <c r="F46" s="34"/>
      <c r="G46" s="34"/>
      <c r="H46" s="34"/>
    </row>
    <row r="47" spans="1:8">
      <c r="A47" s="34"/>
      <c r="B47" s="34"/>
      <c r="C47" s="34"/>
      <c r="D47" s="34"/>
      <c r="F47" s="34"/>
      <c r="G47" s="34"/>
      <c r="H47" s="34"/>
    </row>
    <row r="48" spans="1:8">
      <c r="A48" s="34"/>
      <c r="B48" s="34"/>
      <c r="C48" s="34"/>
      <c r="D48" s="34"/>
      <c r="F48" s="34"/>
      <c r="G48" s="34"/>
      <c r="H48" s="34"/>
    </row>
    <row r="49" spans="1:8">
      <c r="A49" s="34"/>
      <c r="B49" s="34"/>
      <c r="C49" s="34"/>
      <c r="D49" s="34"/>
      <c r="F49" s="34"/>
      <c r="G49" s="34"/>
      <c r="H49" s="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Lisez-moi</vt:lpstr>
      <vt:lpstr>1_observedProperty</vt:lpstr>
      <vt:lpstr>2_sensor</vt:lpstr>
      <vt:lpstr>3_thing</vt:lpstr>
      <vt:lpstr>4_datastream</vt:lpstr>
      <vt:lpstr>5_featureOfInterest</vt:lpstr>
      <vt:lpstr>observation type</vt:lpstr>
      <vt:lpstr>liste_coordXY_Agrhys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Faucheux</dc:creator>
  <cp:lastModifiedBy>Christophe Geneste</cp:lastModifiedBy>
  <cp:revision>5</cp:revision>
  <dcterms:created xsi:type="dcterms:W3CDTF">2023-11-06T13:52:02Z</dcterms:created>
  <dcterms:modified xsi:type="dcterms:W3CDTF">2024-09-17T12:19:39Z</dcterms:modified>
</cp:coreProperties>
</file>